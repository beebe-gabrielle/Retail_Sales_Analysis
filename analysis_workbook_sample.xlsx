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d640e84766422f/Desktop/Portfolio Projects/Project_1_Database/Career_Prep/Portfolio Projects/data_project_retail_sales/"/>
    </mc:Choice>
  </mc:AlternateContent>
  <xr:revisionPtr revIDLastSave="14" documentId="8_{415476E9-9DAB-477F-80FC-454E9FCD15C4}" xr6:coauthVersionLast="47" xr6:coauthVersionMax="47" xr10:uidLastSave="{4B8422BD-66E6-4FBE-85A5-66AF9A0406E2}"/>
  <bookViews>
    <workbookView xWindow="924" yWindow="1632" windowWidth="17280" windowHeight="11208" tabRatio="713" xr2:uid="{5FAF511D-98C8-4C6F-8594-F95C60A7A464}"/>
  </bookViews>
  <sheets>
    <sheet name="clean_retail_data_sample" sheetId="3" r:id="rId1"/>
    <sheet name="raw_retail_data_sample" sheetId="4" r:id="rId2"/>
    <sheet name="formulas_sample" sheetId="1" r:id="rId3"/>
    <sheet name="issues_log" sheetId="2" r:id="rId4"/>
  </sheets>
  <definedNames>
    <definedName name="_xlnm._FilterDatabase" localSheetId="1" hidden="1">raw_retail_data_sample!$A$1:$Q$101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0" i="1" l="1"/>
  <c r="D100" i="1"/>
  <c r="G100" i="1"/>
  <c r="I100" i="1"/>
  <c r="L100" i="1"/>
  <c r="N100" i="1"/>
  <c r="P100" i="1"/>
  <c r="R100" i="1"/>
  <c r="T100" i="1"/>
  <c r="V100" i="1"/>
  <c r="X100" i="1"/>
  <c r="Z100" i="1" a="1"/>
  <c r="Z100" i="1" s="1"/>
  <c r="AB100" i="1" a="1"/>
  <c r="AB100" i="1" s="1"/>
  <c r="AD100" i="1"/>
  <c r="AF100" i="1"/>
  <c r="AH100" i="1"/>
  <c r="C101" i="1"/>
  <c r="D101" i="1"/>
  <c r="G101" i="1"/>
  <c r="I101" i="1"/>
  <c r="L101" i="1"/>
  <c r="N101" i="1"/>
  <c r="P101" i="1"/>
  <c r="R101" i="1"/>
  <c r="T101" i="1"/>
  <c r="V101" i="1"/>
  <c r="X101" i="1"/>
  <c r="Z101" i="1" a="1"/>
  <c r="Z101" i="1" s="1"/>
  <c r="AB101" i="1" a="1"/>
  <c r="AB101" i="1" s="1"/>
  <c r="AD101" i="1"/>
  <c r="AF101" i="1"/>
  <c r="AH101" i="1"/>
  <c r="C2" i="1"/>
  <c r="D2" i="1"/>
  <c r="G2" i="1"/>
  <c r="I2" i="1"/>
  <c r="L2" i="1"/>
  <c r="N2" i="1"/>
  <c r="P2" i="1"/>
  <c r="R2" i="1"/>
  <c r="T2" i="1"/>
  <c r="V2" i="1"/>
  <c r="X2" i="1"/>
  <c r="Z2" i="1" a="1"/>
  <c r="Z2" i="1" s="1"/>
  <c r="AB2" i="1" a="1"/>
  <c r="AB2" i="1" s="1"/>
  <c r="AD2" i="1"/>
  <c r="AF2" i="1"/>
  <c r="AH2" i="1"/>
  <c r="C3" i="1"/>
  <c r="D3" i="1"/>
  <c r="G3" i="1"/>
  <c r="I3" i="1"/>
  <c r="L3" i="1"/>
  <c r="N3" i="1"/>
  <c r="P3" i="1"/>
  <c r="R3" i="1"/>
  <c r="T3" i="1"/>
  <c r="V3" i="1"/>
  <c r="X3" i="1"/>
  <c r="Z3" i="1" a="1"/>
  <c r="Z3" i="1" s="1"/>
  <c r="AB3" i="1" a="1"/>
  <c r="AB3" i="1" s="1"/>
  <c r="AD3" i="1"/>
  <c r="AF3" i="1"/>
  <c r="AH3" i="1"/>
  <c r="C4" i="1"/>
  <c r="D4" i="1"/>
  <c r="G4" i="1"/>
  <c r="I4" i="1"/>
  <c r="L4" i="1"/>
  <c r="N4" i="1"/>
  <c r="P4" i="1"/>
  <c r="R4" i="1"/>
  <c r="T4" i="1"/>
  <c r="V4" i="1"/>
  <c r="X4" i="1"/>
  <c r="Z4" i="1" a="1"/>
  <c r="Z4" i="1" s="1"/>
  <c r="AB4" i="1" a="1"/>
  <c r="AB4" i="1" s="1"/>
  <c r="AD4" i="1"/>
  <c r="AF4" i="1"/>
  <c r="AH4" i="1"/>
  <c r="C5" i="1"/>
  <c r="D5" i="1"/>
  <c r="G5" i="1"/>
  <c r="I5" i="1"/>
  <c r="L5" i="1"/>
  <c r="N5" i="1"/>
  <c r="P5" i="1"/>
  <c r="R5" i="1"/>
  <c r="T5" i="1"/>
  <c r="V5" i="1"/>
  <c r="X5" i="1"/>
  <c r="Z5" i="1" a="1"/>
  <c r="Z5" i="1" s="1"/>
  <c r="AB5" i="1" a="1"/>
  <c r="AB5" i="1" s="1"/>
  <c r="AD5" i="1"/>
  <c r="AF5" i="1"/>
  <c r="AH5" i="1"/>
  <c r="C6" i="1"/>
  <c r="D6" i="1"/>
  <c r="G6" i="1"/>
  <c r="I6" i="1"/>
  <c r="L6" i="1"/>
  <c r="N6" i="1"/>
  <c r="P6" i="1"/>
  <c r="R6" i="1"/>
  <c r="T6" i="1"/>
  <c r="V6" i="1"/>
  <c r="X6" i="1"/>
  <c r="Z6" i="1" a="1"/>
  <c r="Z6" i="1" s="1"/>
  <c r="AB6" i="1" a="1"/>
  <c r="AB6" i="1" s="1"/>
  <c r="AD6" i="1"/>
  <c r="AF6" i="1"/>
  <c r="AH6" i="1"/>
  <c r="C7" i="1"/>
  <c r="D7" i="1"/>
  <c r="G7" i="1"/>
  <c r="I7" i="1"/>
  <c r="L7" i="1"/>
  <c r="N7" i="1"/>
  <c r="P7" i="1"/>
  <c r="R7" i="1"/>
  <c r="T7" i="1"/>
  <c r="V7" i="1"/>
  <c r="X7" i="1"/>
  <c r="Z7" i="1" a="1"/>
  <c r="Z7" i="1" s="1"/>
  <c r="AB7" i="1" a="1"/>
  <c r="AB7" i="1" s="1"/>
  <c r="AD7" i="1"/>
  <c r="AF7" i="1"/>
  <c r="AH7" i="1"/>
  <c r="C8" i="1"/>
  <c r="D8" i="1"/>
  <c r="G8" i="1"/>
  <c r="I8" i="1"/>
  <c r="L8" i="1"/>
  <c r="N8" i="1"/>
  <c r="P8" i="1"/>
  <c r="R8" i="1"/>
  <c r="T8" i="1"/>
  <c r="V8" i="1"/>
  <c r="X8" i="1"/>
  <c r="Z8" i="1" a="1"/>
  <c r="Z8" i="1" s="1"/>
  <c r="AB8" i="1" a="1"/>
  <c r="AB8" i="1" s="1"/>
  <c r="AD8" i="1"/>
  <c r="AF8" i="1"/>
  <c r="AH8" i="1"/>
  <c r="C9" i="1"/>
  <c r="D9" i="1"/>
  <c r="G9" i="1"/>
  <c r="I9" i="1"/>
  <c r="L9" i="1"/>
  <c r="N9" i="1"/>
  <c r="P9" i="1"/>
  <c r="R9" i="1"/>
  <c r="T9" i="1"/>
  <c r="V9" i="1"/>
  <c r="X9" i="1"/>
  <c r="Z9" i="1" a="1"/>
  <c r="Z9" i="1" s="1"/>
  <c r="AB9" i="1" a="1"/>
  <c r="AB9" i="1" s="1"/>
  <c r="AD9" i="1"/>
  <c r="AF9" i="1"/>
  <c r="AH9" i="1"/>
  <c r="C10" i="1"/>
  <c r="D10" i="1"/>
  <c r="G10" i="1"/>
  <c r="I10" i="1"/>
  <c r="L10" i="1"/>
  <c r="N10" i="1"/>
  <c r="P10" i="1"/>
  <c r="R10" i="1"/>
  <c r="T10" i="1"/>
  <c r="V10" i="1"/>
  <c r="X10" i="1"/>
  <c r="Z10" i="1" a="1"/>
  <c r="Z10" i="1" s="1"/>
  <c r="AB10" i="1" a="1"/>
  <c r="AB10" i="1" s="1"/>
  <c r="AD10" i="1"/>
  <c r="AF10" i="1"/>
  <c r="AH10" i="1"/>
  <c r="C11" i="1"/>
  <c r="D11" i="1"/>
  <c r="G11" i="1"/>
  <c r="I11" i="1"/>
  <c r="L11" i="1"/>
  <c r="N11" i="1"/>
  <c r="P11" i="1"/>
  <c r="R11" i="1"/>
  <c r="T11" i="1"/>
  <c r="V11" i="1"/>
  <c r="X11" i="1"/>
  <c r="Z11" i="1" a="1"/>
  <c r="Z11" i="1" s="1"/>
  <c r="AB11" i="1" a="1"/>
  <c r="AB11" i="1" s="1"/>
  <c r="AD11" i="1"/>
  <c r="AF11" i="1"/>
  <c r="AH11" i="1"/>
  <c r="C12" i="1"/>
  <c r="D12" i="1"/>
  <c r="G12" i="1"/>
  <c r="I12" i="1"/>
  <c r="L12" i="1"/>
  <c r="N12" i="1"/>
  <c r="P12" i="1"/>
  <c r="R12" i="1"/>
  <c r="T12" i="1"/>
  <c r="V12" i="1"/>
  <c r="X12" i="1"/>
  <c r="Z12" i="1" a="1"/>
  <c r="Z12" i="1" s="1"/>
  <c r="AB12" i="1" a="1"/>
  <c r="AB12" i="1" s="1"/>
  <c r="AD12" i="1"/>
  <c r="AF12" i="1"/>
  <c r="AH12" i="1"/>
  <c r="C13" i="1"/>
  <c r="D13" i="1"/>
  <c r="G13" i="1"/>
  <c r="I13" i="1"/>
  <c r="L13" i="1"/>
  <c r="N13" i="1"/>
  <c r="P13" i="1"/>
  <c r="R13" i="1"/>
  <c r="T13" i="1"/>
  <c r="V13" i="1"/>
  <c r="X13" i="1"/>
  <c r="Z13" i="1" a="1"/>
  <c r="Z13" i="1" s="1"/>
  <c r="AB13" i="1" a="1"/>
  <c r="AB13" i="1" s="1"/>
  <c r="AD13" i="1"/>
  <c r="AF13" i="1"/>
  <c r="AH13" i="1"/>
  <c r="C14" i="1"/>
  <c r="D14" i="1"/>
  <c r="G14" i="1"/>
  <c r="I14" i="1"/>
  <c r="L14" i="1"/>
  <c r="N14" i="1"/>
  <c r="P14" i="1"/>
  <c r="R14" i="1"/>
  <c r="T14" i="1"/>
  <c r="V14" i="1"/>
  <c r="X14" i="1"/>
  <c r="Z14" i="1" a="1"/>
  <c r="Z14" i="1" s="1"/>
  <c r="AB14" i="1" a="1"/>
  <c r="AB14" i="1" s="1"/>
  <c r="AD14" i="1"/>
  <c r="AF14" i="1"/>
  <c r="AH14" i="1"/>
  <c r="C15" i="1"/>
  <c r="D15" i="1"/>
  <c r="G15" i="1"/>
  <c r="I15" i="1"/>
  <c r="L15" i="1"/>
  <c r="N15" i="1"/>
  <c r="P15" i="1"/>
  <c r="R15" i="1"/>
  <c r="T15" i="1"/>
  <c r="V15" i="1"/>
  <c r="X15" i="1"/>
  <c r="Z15" i="1" a="1"/>
  <c r="Z15" i="1" s="1"/>
  <c r="AB15" i="1" a="1"/>
  <c r="AB15" i="1" s="1"/>
  <c r="AD15" i="1"/>
  <c r="AF15" i="1"/>
  <c r="AH15" i="1"/>
  <c r="C16" i="1"/>
  <c r="D16" i="1"/>
  <c r="G16" i="1"/>
  <c r="I16" i="1"/>
  <c r="L16" i="1"/>
  <c r="N16" i="1"/>
  <c r="P16" i="1"/>
  <c r="R16" i="1"/>
  <c r="T16" i="1"/>
  <c r="V16" i="1"/>
  <c r="X16" i="1"/>
  <c r="Z16" i="1" a="1"/>
  <c r="Z16" i="1" s="1"/>
  <c r="AB16" i="1" a="1"/>
  <c r="AB16" i="1" s="1"/>
  <c r="AD16" i="1"/>
  <c r="AF16" i="1"/>
  <c r="AH16" i="1"/>
  <c r="C17" i="1"/>
  <c r="D17" i="1"/>
  <c r="G17" i="1"/>
  <c r="I17" i="1"/>
  <c r="L17" i="1"/>
  <c r="N17" i="1"/>
  <c r="P17" i="1"/>
  <c r="R17" i="1"/>
  <c r="T17" i="1"/>
  <c r="V17" i="1"/>
  <c r="X17" i="1"/>
  <c r="Z17" i="1" a="1"/>
  <c r="Z17" i="1" s="1"/>
  <c r="AB17" i="1" a="1"/>
  <c r="AB17" i="1" s="1"/>
  <c r="AD17" i="1"/>
  <c r="AF17" i="1"/>
  <c r="AH17" i="1"/>
  <c r="C18" i="1"/>
  <c r="D18" i="1"/>
  <c r="G18" i="1"/>
  <c r="I18" i="1"/>
  <c r="L18" i="1"/>
  <c r="N18" i="1"/>
  <c r="P18" i="1"/>
  <c r="R18" i="1"/>
  <c r="T18" i="1"/>
  <c r="V18" i="1"/>
  <c r="X18" i="1"/>
  <c r="Z18" i="1" a="1"/>
  <c r="Z18" i="1" s="1"/>
  <c r="AB18" i="1" a="1"/>
  <c r="AB18" i="1" s="1"/>
  <c r="AD18" i="1"/>
  <c r="AF18" i="1"/>
  <c r="AH18" i="1"/>
  <c r="C19" i="1"/>
  <c r="D19" i="1"/>
  <c r="G19" i="1"/>
  <c r="I19" i="1"/>
  <c r="L19" i="1"/>
  <c r="N19" i="1"/>
  <c r="P19" i="1"/>
  <c r="R19" i="1"/>
  <c r="T19" i="1"/>
  <c r="V19" i="1"/>
  <c r="X19" i="1"/>
  <c r="Z19" i="1" a="1"/>
  <c r="Z19" i="1" s="1"/>
  <c r="AB19" i="1" a="1"/>
  <c r="AB19" i="1" s="1"/>
  <c r="AD19" i="1"/>
  <c r="AF19" i="1"/>
  <c r="AH19" i="1"/>
  <c r="C20" i="1"/>
  <c r="D20" i="1"/>
  <c r="G20" i="1"/>
  <c r="I20" i="1"/>
  <c r="L20" i="1"/>
  <c r="N20" i="1"/>
  <c r="P20" i="1"/>
  <c r="R20" i="1"/>
  <c r="T20" i="1"/>
  <c r="V20" i="1"/>
  <c r="X20" i="1"/>
  <c r="Z20" i="1" a="1"/>
  <c r="Z20" i="1" s="1"/>
  <c r="AB20" i="1" a="1"/>
  <c r="AB20" i="1" s="1"/>
  <c r="AD20" i="1"/>
  <c r="AF20" i="1"/>
  <c r="AH20" i="1"/>
  <c r="C21" i="1"/>
  <c r="D21" i="1"/>
  <c r="G21" i="1"/>
  <c r="I21" i="1"/>
  <c r="L21" i="1"/>
  <c r="N21" i="1"/>
  <c r="P21" i="1"/>
  <c r="R21" i="1"/>
  <c r="T21" i="1"/>
  <c r="V21" i="1"/>
  <c r="X21" i="1"/>
  <c r="Z21" i="1" a="1"/>
  <c r="Z21" i="1" s="1"/>
  <c r="AB21" i="1" a="1"/>
  <c r="AB21" i="1" s="1"/>
  <c r="AD21" i="1"/>
  <c r="AF21" i="1"/>
  <c r="AH21" i="1"/>
  <c r="C22" i="1"/>
  <c r="D22" i="1"/>
  <c r="G22" i="1"/>
  <c r="I22" i="1"/>
  <c r="L22" i="1"/>
  <c r="N22" i="1"/>
  <c r="P22" i="1"/>
  <c r="R22" i="1"/>
  <c r="T22" i="1"/>
  <c r="V22" i="1"/>
  <c r="X22" i="1"/>
  <c r="Z22" i="1" a="1"/>
  <c r="Z22" i="1" s="1"/>
  <c r="AB22" i="1" a="1"/>
  <c r="AB22" i="1" s="1"/>
  <c r="AD22" i="1"/>
  <c r="AF22" i="1"/>
  <c r="AH22" i="1"/>
  <c r="C23" i="1"/>
  <c r="D23" i="1"/>
  <c r="G23" i="1"/>
  <c r="I23" i="1"/>
  <c r="L23" i="1"/>
  <c r="N23" i="1"/>
  <c r="P23" i="1"/>
  <c r="R23" i="1"/>
  <c r="T23" i="1"/>
  <c r="V23" i="1"/>
  <c r="X23" i="1"/>
  <c r="Z23" i="1" a="1"/>
  <c r="Z23" i="1" s="1"/>
  <c r="AB23" i="1" a="1"/>
  <c r="AB23" i="1" s="1"/>
  <c r="AD23" i="1"/>
  <c r="AF23" i="1"/>
  <c r="AH23" i="1"/>
  <c r="C24" i="1"/>
  <c r="D24" i="1"/>
  <c r="G24" i="1"/>
  <c r="I24" i="1"/>
  <c r="L24" i="1"/>
  <c r="N24" i="1"/>
  <c r="P24" i="1"/>
  <c r="R24" i="1"/>
  <c r="T24" i="1"/>
  <c r="V24" i="1"/>
  <c r="X24" i="1"/>
  <c r="Z24" i="1" a="1"/>
  <c r="Z24" i="1" s="1"/>
  <c r="AB24" i="1" a="1"/>
  <c r="AB24" i="1" s="1"/>
  <c r="AD24" i="1"/>
  <c r="AF24" i="1"/>
  <c r="AH24" i="1"/>
  <c r="C25" i="1"/>
  <c r="D25" i="1"/>
  <c r="G25" i="1"/>
  <c r="I25" i="1"/>
  <c r="L25" i="1"/>
  <c r="N25" i="1"/>
  <c r="P25" i="1"/>
  <c r="R25" i="1"/>
  <c r="T25" i="1"/>
  <c r="V25" i="1"/>
  <c r="X25" i="1"/>
  <c r="Z25" i="1" a="1"/>
  <c r="Z25" i="1" s="1"/>
  <c r="AB25" i="1" a="1"/>
  <c r="AB25" i="1" s="1"/>
  <c r="AD25" i="1"/>
  <c r="AF25" i="1"/>
  <c r="AH25" i="1"/>
  <c r="C26" i="1"/>
  <c r="D26" i="1"/>
  <c r="G26" i="1"/>
  <c r="I26" i="1"/>
  <c r="L26" i="1"/>
  <c r="N26" i="1"/>
  <c r="P26" i="1"/>
  <c r="R26" i="1"/>
  <c r="T26" i="1"/>
  <c r="V26" i="1"/>
  <c r="X26" i="1"/>
  <c r="Z26" i="1" a="1"/>
  <c r="Z26" i="1" s="1"/>
  <c r="AB26" i="1" a="1"/>
  <c r="AB26" i="1" s="1"/>
  <c r="AD26" i="1"/>
  <c r="AF26" i="1"/>
  <c r="AH26" i="1"/>
  <c r="C27" i="1"/>
  <c r="D27" i="1"/>
  <c r="G27" i="1"/>
  <c r="I27" i="1"/>
  <c r="L27" i="1"/>
  <c r="N27" i="1"/>
  <c r="P27" i="1"/>
  <c r="R27" i="1"/>
  <c r="T27" i="1"/>
  <c r="V27" i="1"/>
  <c r="X27" i="1"/>
  <c r="Z27" i="1" a="1"/>
  <c r="Z27" i="1" s="1"/>
  <c r="AB27" i="1" a="1"/>
  <c r="AB27" i="1" s="1"/>
  <c r="AD27" i="1"/>
  <c r="AF27" i="1"/>
  <c r="AH27" i="1"/>
  <c r="C28" i="1"/>
  <c r="D28" i="1"/>
  <c r="G28" i="1"/>
  <c r="I28" i="1"/>
  <c r="L28" i="1"/>
  <c r="N28" i="1"/>
  <c r="P28" i="1"/>
  <c r="R28" i="1"/>
  <c r="T28" i="1"/>
  <c r="V28" i="1"/>
  <c r="X28" i="1"/>
  <c r="Z28" i="1" a="1"/>
  <c r="Z28" i="1" s="1"/>
  <c r="AB28" i="1" a="1"/>
  <c r="AB28" i="1" s="1"/>
  <c r="AD28" i="1"/>
  <c r="AF28" i="1"/>
  <c r="AH28" i="1"/>
  <c r="C29" i="1"/>
  <c r="D29" i="1"/>
  <c r="G29" i="1"/>
  <c r="I29" i="1"/>
  <c r="L29" i="1"/>
  <c r="N29" i="1"/>
  <c r="P29" i="1"/>
  <c r="R29" i="1"/>
  <c r="T29" i="1"/>
  <c r="V29" i="1"/>
  <c r="X29" i="1"/>
  <c r="Z29" i="1" a="1"/>
  <c r="Z29" i="1" s="1"/>
  <c r="AB29" i="1" a="1"/>
  <c r="AB29" i="1" s="1"/>
  <c r="AD29" i="1"/>
  <c r="AF29" i="1"/>
  <c r="AH29" i="1"/>
  <c r="C30" i="1"/>
  <c r="D30" i="1"/>
  <c r="G30" i="1"/>
  <c r="I30" i="1"/>
  <c r="L30" i="1"/>
  <c r="N30" i="1"/>
  <c r="P30" i="1"/>
  <c r="R30" i="1"/>
  <c r="T30" i="1"/>
  <c r="V30" i="1"/>
  <c r="X30" i="1"/>
  <c r="Z30" i="1" a="1"/>
  <c r="Z30" i="1" s="1"/>
  <c r="AB30" i="1" a="1"/>
  <c r="AB30" i="1" s="1"/>
  <c r="AD30" i="1"/>
  <c r="AF30" i="1"/>
  <c r="AH30" i="1"/>
  <c r="C31" i="1"/>
  <c r="D31" i="1"/>
  <c r="G31" i="1"/>
  <c r="I31" i="1"/>
  <c r="L31" i="1"/>
  <c r="N31" i="1"/>
  <c r="P31" i="1"/>
  <c r="R31" i="1"/>
  <c r="T31" i="1"/>
  <c r="V31" i="1"/>
  <c r="X31" i="1"/>
  <c r="Z31" i="1" a="1"/>
  <c r="Z31" i="1" s="1"/>
  <c r="AB31" i="1" a="1"/>
  <c r="AB31" i="1" s="1"/>
  <c r="AD31" i="1"/>
  <c r="AF31" i="1"/>
  <c r="AH31" i="1"/>
  <c r="C32" i="1"/>
  <c r="D32" i="1"/>
  <c r="G32" i="1"/>
  <c r="I32" i="1"/>
  <c r="L32" i="1"/>
  <c r="N32" i="1"/>
  <c r="P32" i="1"/>
  <c r="R32" i="1"/>
  <c r="T32" i="1"/>
  <c r="V32" i="1"/>
  <c r="X32" i="1"/>
  <c r="Z32" i="1" a="1"/>
  <c r="Z32" i="1" s="1"/>
  <c r="AB32" i="1" a="1"/>
  <c r="AB32" i="1" s="1"/>
  <c r="AD32" i="1"/>
  <c r="AF32" i="1"/>
  <c r="AH32" i="1"/>
  <c r="C33" i="1"/>
  <c r="D33" i="1"/>
  <c r="G33" i="1"/>
  <c r="I33" i="1"/>
  <c r="L33" i="1"/>
  <c r="N33" i="1"/>
  <c r="P33" i="1"/>
  <c r="R33" i="1"/>
  <c r="T33" i="1"/>
  <c r="V33" i="1"/>
  <c r="X33" i="1"/>
  <c r="Z33" i="1" a="1"/>
  <c r="Z33" i="1" s="1"/>
  <c r="AB33" i="1" a="1"/>
  <c r="AB33" i="1" s="1"/>
  <c r="AD33" i="1"/>
  <c r="AF33" i="1"/>
  <c r="AH33" i="1"/>
  <c r="C34" i="1"/>
  <c r="D34" i="1"/>
  <c r="G34" i="1"/>
  <c r="I34" i="1"/>
  <c r="L34" i="1"/>
  <c r="N34" i="1"/>
  <c r="P34" i="1"/>
  <c r="R34" i="1"/>
  <c r="T34" i="1"/>
  <c r="V34" i="1"/>
  <c r="X34" i="1"/>
  <c r="Z34" i="1" a="1"/>
  <c r="Z34" i="1" s="1"/>
  <c r="AB34" i="1" a="1"/>
  <c r="AB34" i="1" s="1"/>
  <c r="AD34" i="1"/>
  <c r="AF34" i="1"/>
  <c r="AH34" i="1"/>
  <c r="C35" i="1"/>
  <c r="D35" i="1"/>
  <c r="G35" i="1"/>
  <c r="I35" i="1"/>
  <c r="L35" i="1"/>
  <c r="N35" i="1"/>
  <c r="P35" i="1"/>
  <c r="R35" i="1"/>
  <c r="T35" i="1"/>
  <c r="V35" i="1"/>
  <c r="X35" i="1"/>
  <c r="Z35" i="1" a="1"/>
  <c r="Z35" i="1" s="1"/>
  <c r="AB35" i="1" a="1"/>
  <c r="AB35" i="1" s="1"/>
  <c r="AD35" i="1"/>
  <c r="AF35" i="1"/>
  <c r="AH35" i="1"/>
  <c r="C36" i="1"/>
  <c r="D36" i="1"/>
  <c r="G36" i="1"/>
  <c r="I36" i="1"/>
  <c r="L36" i="1"/>
  <c r="N36" i="1"/>
  <c r="P36" i="1"/>
  <c r="R36" i="1"/>
  <c r="T36" i="1"/>
  <c r="V36" i="1"/>
  <c r="X36" i="1"/>
  <c r="Z36" i="1" a="1"/>
  <c r="Z36" i="1" s="1"/>
  <c r="AB36" i="1" a="1"/>
  <c r="AB36" i="1" s="1"/>
  <c r="AD36" i="1"/>
  <c r="AF36" i="1"/>
  <c r="AH36" i="1"/>
  <c r="C37" i="1"/>
  <c r="D37" i="1"/>
  <c r="G37" i="1"/>
  <c r="I37" i="1"/>
  <c r="L37" i="1"/>
  <c r="N37" i="1"/>
  <c r="P37" i="1"/>
  <c r="R37" i="1"/>
  <c r="T37" i="1"/>
  <c r="V37" i="1"/>
  <c r="X37" i="1"/>
  <c r="Z37" i="1" a="1"/>
  <c r="Z37" i="1" s="1"/>
  <c r="AB37" i="1" a="1"/>
  <c r="AB37" i="1" s="1"/>
  <c r="AD37" i="1"/>
  <c r="AF37" i="1"/>
  <c r="AH37" i="1"/>
  <c r="C38" i="1"/>
  <c r="D38" i="1"/>
  <c r="G38" i="1"/>
  <c r="I38" i="1"/>
  <c r="L38" i="1"/>
  <c r="N38" i="1"/>
  <c r="P38" i="1"/>
  <c r="R38" i="1"/>
  <c r="T38" i="1"/>
  <c r="V38" i="1"/>
  <c r="X38" i="1"/>
  <c r="Z38" i="1" a="1"/>
  <c r="Z38" i="1" s="1"/>
  <c r="AB38" i="1" a="1"/>
  <c r="AB38" i="1" s="1"/>
  <c r="AD38" i="1"/>
  <c r="AF38" i="1"/>
  <c r="AH38" i="1"/>
  <c r="C39" i="1"/>
  <c r="D39" i="1"/>
  <c r="G39" i="1"/>
  <c r="I39" i="1"/>
  <c r="L39" i="1"/>
  <c r="N39" i="1"/>
  <c r="P39" i="1"/>
  <c r="R39" i="1"/>
  <c r="T39" i="1"/>
  <c r="V39" i="1"/>
  <c r="X39" i="1"/>
  <c r="Z39" i="1" a="1"/>
  <c r="Z39" i="1" s="1"/>
  <c r="AB39" i="1" a="1"/>
  <c r="AB39" i="1" s="1"/>
  <c r="AD39" i="1"/>
  <c r="AF39" i="1"/>
  <c r="AH39" i="1"/>
  <c r="C40" i="1"/>
  <c r="D40" i="1"/>
  <c r="G40" i="1"/>
  <c r="I40" i="1"/>
  <c r="L40" i="1"/>
  <c r="N40" i="1"/>
  <c r="P40" i="1"/>
  <c r="R40" i="1"/>
  <c r="T40" i="1"/>
  <c r="V40" i="1"/>
  <c r="X40" i="1"/>
  <c r="Z40" i="1" a="1"/>
  <c r="Z40" i="1" s="1"/>
  <c r="AB40" i="1" a="1"/>
  <c r="AB40" i="1" s="1"/>
  <c r="AD40" i="1"/>
  <c r="AF40" i="1"/>
  <c r="AH40" i="1"/>
  <c r="C41" i="1"/>
  <c r="D41" i="1"/>
  <c r="G41" i="1"/>
  <c r="I41" i="1"/>
  <c r="L41" i="1"/>
  <c r="N41" i="1"/>
  <c r="P41" i="1"/>
  <c r="R41" i="1"/>
  <c r="T41" i="1"/>
  <c r="V41" i="1"/>
  <c r="X41" i="1"/>
  <c r="Z41" i="1" a="1"/>
  <c r="Z41" i="1" s="1"/>
  <c r="AB41" i="1" a="1"/>
  <c r="AB41" i="1" s="1"/>
  <c r="AD41" i="1"/>
  <c r="AF41" i="1"/>
  <c r="AH41" i="1"/>
  <c r="C42" i="1"/>
  <c r="D42" i="1"/>
  <c r="G42" i="1"/>
  <c r="I42" i="1"/>
  <c r="L42" i="1"/>
  <c r="N42" i="1"/>
  <c r="P42" i="1"/>
  <c r="R42" i="1"/>
  <c r="T42" i="1"/>
  <c r="V42" i="1"/>
  <c r="X42" i="1"/>
  <c r="Z42" i="1" a="1"/>
  <c r="Z42" i="1" s="1"/>
  <c r="AB42" i="1" a="1"/>
  <c r="AB42" i="1" s="1"/>
  <c r="AD42" i="1"/>
  <c r="AF42" i="1"/>
  <c r="AH42" i="1"/>
  <c r="C43" i="1"/>
  <c r="D43" i="1"/>
  <c r="G43" i="1"/>
  <c r="I43" i="1"/>
  <c r="L43" i="1"/>
  <c r="N43" i="1"/>
  <c r="P43" i="1"/>
  <c r="R43" i="1"/>
  <c r="T43" i="1"/>
  <c r="V43" i="1"/>
  <c r="X43" i="1"/>
  <c r="Z43" i="1" a="1"/>
  <c r="Z43" i="1" s="1"/>
  <c r="AB43" i="1" a="1"/>
  <c r="AB43" i="1" s="1"/>
  <c r="AD43" i="1"/>
  <c r="AF43" i="1"/>
  <c r="AH43" i="1"/>
  <c r="C44" i="1"/>
  <c r="D44" i="1"/>
  <c r="G44" i="1"/>
  <c r="I44" i="1"/>
  <c r="L44" i="1"/>
  <c r="N44" i="1"/>
  <c r="P44" i="1"/>
  <c r="R44" i="1"/>
  <c r="T44" i="1"/>
  <c r="V44" i="1"/>
  <c r="X44" i="1"/>
  <c r="Z44" i="1" a="1"/>
  <c r="Z44" i="1" s="1"/>
  <c r="AB44" i="1" a="1"/>
  <c r="AB44" i="1" s="1"/>
  <c r="AD44" i="1"/>
  <c r="AF44" i="1"/>
  <c r="AH44" i="1"/>
  <c r="C45" i="1"/>
  <c r="D45" i="1"/>
  <c r="G45" i="1"/>
  <c r="I45" i="1"/>
  <c r="L45" i="1"/>
  <c r="N45" i="1"/>
  <c r="P45" i="1"/>
  <c r="R45" i="1"/>
  <c r="T45" i="1"/>
  <c r="V45" i="1"/>
  <c r="X45" i="1"/>
  <c r="Z45" i="1" a="1"/>
  <c r="Z45" i="1" s="1"/>
  <c r="AB45" i="1" a="1"/>
  <c r="AB45" i="1" s="1"/>
  <c r="AD45" i="1"/>
  <c r="AF45" i="1"/>
  <c r="AH45" i="1"/>
  <c r="C46" i="1"/>
  <c r="D46" i="1"/>
  <c r="G46" i="1"/>
  <c r="I46" i="1"/>
  <c r="L46" i="1"/>
  <c r="N46" i="1"/>
  <c r="P46" i="1"/>
  <c r="R46" i="1"/>
  <c r="T46" i="1"/>
  <c r="V46" i="1"/>
  <c r="X46" i="1"/>
  <c r="Z46" i="1" a="1"/>
  <c r="Z46" i="1" s="1"/>
  <c r="AB46" i="1" a="1"/>
  <c r="AB46" i="1" s="1"/>
  <c r="AD46" i="1"/>
  <c r="AF46" i="1"/>
  <c r="AH46" i="1"/>
  <c r="C47" i="1"/>
  <c r="D47" i="1"/>
  <c r="G47" i="1"/>
  <c r="I47" i="1"/>
  <c r="L47" i="1"/>
  <c r="N47" i="1"/>
  <c r="P47" i="1"/>
  <c r="R47" i="1"/>
  <c r="T47" i="1"/>
  <c r="V47" i="1"/>
  <c r="X47" i="1"/>
  <c r="Z47" i="1" a="1"/>
  <c r="Z47" i="1" s="1"/>
  <c r="AB47" i="1" a="1"/>
  <c r="AB47" i="1" s="1"/>
  <c r="AD47" i="1"/>
  <c r="AF47" i="1"/>
  <c r="AH47" i="1"/>
  <c r="C48" i="1"/>
  <c r="D48" i="1"/>
  <c r="G48" i="1"/>
  <c r="I48" i="1"/>
  <c r="L48" i="1"/>
  <c r="N48" i="1"/>
  <c r="P48" i="1"/>
  <c r="R48" i="1"/>
  <c r="T48" i="1"/>
  <c r="V48" i="1"/>
  <c r="X48" i="1"/>
  <c r="Z48" i="1" a="1"/>
  <c r="Z48" i="1" s="1"/>
  <c r="AB48" i="1" a="1"/>
  <c r="AB48" i="1" s="1"/>
  <c r="AD48" i="1"/>
  <c r="AF48" i="1"/>
  <c r="AH48" i="1"/>
  <c r="C49" i="1"/>
  <c r="D49" i="1"/>
  <c r="G49" i="1"/>
  <c r="I49" i="1"/>
  <c r="L49" i="1"/>
  <c r="N49" i="1"/>
  <c r="P49" i="1"/>
  <c r="R49" i="1"/>
  <c r="T49" i="1"/>
  <c r="V49" i="1"/>
  <c r="X49" i="1"/>
  <c r="Z49" i="1" a="1"/>
  <c r="Z49" i="1" s="1"/>
  <c r="AB49" i="1" a="1"/>
  <c r="AB49" i="1" s="1"/>
  <c r="AD49" i="1"/>
  <c r="AF49" i="1"/>
  <c r="AH49" i="1"/>
  <c r="C50" i="1"/>
  <c r="D50" i="1"/>
  <c r="G50" i="1"/>
  <c r="I50" i="1"/>
  <c r="L50" i="1"/>
  <c r="N50" i="1"/>
  <c r="P50" i="1"/>
  <c r="R50" i="1"/>
  <c r="T50" i="1"/>
  <c r="V50" i="1"/>
  <c r="X50" i="1"/>
  <c r="Z50" i="1" a="1"/>
  <c r="Z50" i="1" s="1"/>
  <c r="AB50" i="1" a="1"/>
  <c r="AB50" i="1" s="1"/>
  <c r="AD50" i="1"/>
  <c r="AF50" i="1"/>
  <c r="AH50" i="1"/>
  <c r="C51" i="1"/>
  <c r="D51" i="1"/>
  <c r="G51" i="1"/>
  <c r="I51" i="1"/>
  <c r="L51" i="1"/>
  <c r="N51" i="1"/>
  <c r="P51" i="1"/>
  <c r="R51" i="1"/>
  <c r="T51" i="1"/>
  <c r="V51" i="1"/>
  <c r="X51" i="1"/>
  <c r="Z51" i="1" a="1"/>
  <c r="Z51" i="1" s="1"/>
  <c r="AB51" i="1" a="1"/>
  <c r="AB51" i="1" s="1"/>
  <c r="AD51" i="1"/>
  <c r="AF51" i="1"/>
  <c r="AH51" i="1"/>
  <c r="C52" i="1"/>
  <c r="D52" i="1"/>
  <c r="G52" i="1"/>
  <c r="I52" i="1"/>
  <c r="L52" i="1"/>
  <c r="N52" i="1"/>
  <c r="P52" i="1"/>
  <c r="R52" i="1"/>
  <c r="T52" i="1"/>
  <c r="V52" i="1"/>
  <c r="X52" i="1"/>
  <c r="Z52" i="1" a="1"/>
  <c r="Z52" i="1" s="1"/>
  <c r="AB52" i="1" a="1"/>
  <c r="AB52" i="1" s="1"/>
  <c r="AD52" i="1"/>
  <c r="AF52" i="1"/>
  <c r="AH52" i="1"/>
  <c r="C53" i="1"/>
  <c r="D53" i="1"/>
  <c r="G53" i="1"/>
  <c r="I53" i="1"/>
  <c r="L53" i="1"/>
  <c r="N53" i="1"/>
  <c r="P53" i="1"/>
  <c r="R53" i="1"/>
  <c r="T53" i="1"/>
  <c r="V53" i="1"/>
  <c r="X53" i="1"/>
  <c r="Z53" i="1" a="1"/>
  <c r="Z53" i="1" s="1"/>
  <c r="AB53" i="1" a="1"/>
  <c r="AB53" i="1" s="1"/>
  <c r="AD53" i="1"/>
  <c r="AF53" i="1"/>
  <c r="AH53" i="1"/>
  <c r="C54" i="1"/>
  <c r="D54" i="1"/>
  <c r="G54" i="1"/>
  <c r="I54" i="1"/>
  <c r="L54" i="1"/>
  <c r="N54" i="1"/>
  <c r="P54" i="1"/>
  <c r="R54" i="1"/>
  <c r="T54" i="1"/>
  <c r="V54" i="1"/>
  <c r="X54" i="1"/>
  <c r="Z54" i="1" a="1"/>
  <c r="Z54" i="1" s="1"/>
  <c r="AB54" i="1" a="1"/>
  <c r="AB54" i="1" s="1"/>
  <c r="AD54" i="1"/>
  <c r="AF54" i="1"/>
  <c r="AH54" i="1"/>
  <c r="C55" i="1"/>
  <c r="D55" i="1"/>
  <c r="G55" i="1"/>
  <c r="I55" i="1"/>
  <c r="L55" i="1"/>
  <c r="N55" i="1"/>
  <c r="P55" i="1"/>
  <c r="R55" i="1"/>
  <c r="T55" i="1"/>
  <c r="V55" i="1"/>
  <c r="X55" i="1"/>
  <c r="Z55" i="1" a="1"/>
  <c r="Z55" i="1" s="1"/>
  <c r="AB55" i="1" a="1"/>
  <c r="AB55" i="1" s="1"/>
  <c r="AD55" i="1"/>
  <c r="AF55" i="1"/>
  <c r="AH55" i="1"/>
  <c r="C56" i="1"/>
  <c r="D56" i="1"/>
  <c r="G56" i="1"/>
  <c r="I56" i="1"/>
  <c r="L56" i="1"/>
  <c r="N56" i="1"/>
  <c r="P56" i="1"/>
  <c r="R56" i="1"/>
  <c r="T56" i="1"/>
  <c r="V56" i="1"/>
  <c r="X56" i="1"/>
  <c r="Z56" i="1" a="1"/>
  <c r="Z56" i="1" s="1"/>
  <c r="AB56" i="1" a="1"/>
  <c r="AB56" i="1" s="1"/>
  <c r="AD56" i="1"/>
  <c r="AF56" i="1"/>
  <c r="AH56" i="1"/>
  <c r="C57" i="1"/>
  <c r="D57" i="1"/>
  <c r="G57" i="1"/>
  <c r="I57" i="1"/>
  <c r="L57" i="1"/>
  <c r="N57" i="1"/>
  <c r="P57" i="1"/>
  <c r="R57" i="1"/>
  <c r="T57" i="1"/>
  <c r="V57" i="1"/>
  <c r="X57" i="1"/>
  <c r="Z57" i="1" a="1"/>
  <c r="Z57" i="1" s="1"/>
  <c r="AB57" i="1" a="1"/>
  <c r="AB57" i="1" s="1"/>
  <c r="AD57" i="1"/>
  <c r="AF57" i="1"/>
  <c r="AH57" i="1"/>
  <c r="C58" i="1"/>
  <c r="D58" i="1"/>
  <c r="G58" i="1"/>
  <c r="I58" i="1"/>
  <c r="L58" i="1"/>
  <c r="N58" i="1"/>
  <c r="P58" i="1"/>
  <c r="R58" i="1"/>
  <c r="T58" i="1"/>
  <c r="V58" i="1"/>
  <c r="X58" i="1"/>
  <c r="Z58" i="1" a="1"/>
  <c r="Z58" i="1" s="1"/>
  <c r="AB58" i="1" a="1"/>
  <c r="AB58" i="1" s="1"/>
  <c r="AD58" i="1"/>
  <c r="AF58" i="1"/>
  <c r="AH58" i="1"/>
  <c r="C59" i="1"/>
  <c r="D59" i="1"/>
  <c r="G59" i="1"/>
  <c r="I59" i="1"/>
  <c r="L59" i="1"/>
  <c r="N59" i="1"/>
  <c r="P59" i="1"/>
  <c r="R59" i="1"/>
  <c r="T59" i="1"/>
  <c r="V59" i="1"/>
  <c r="X59" i="1"/>
  <c r="Z59" i="1" a="1"/>
  <c r="Z59" i="1" s="1"/>
  <c r="AB59" i="1" a="1"/>
  <c r="AB59" i="1" s="1"/>
  <c r="AD59" i="1"/>
  <c r="AF59" i="1"/>
  <c r="AH59" i="1"/>
  <c r="C60" i="1"/>
  <c r="D60" i="1"/>
  <c r="G60" i="1"/>
  <c r="I60" i="1"/>
  <c r="L60" i="1"/>
  <c r="N60" i="1"/>
  <c r="P60" i="1"/>
  <c r="R60" i="1"/>
  <c r="T60" i="1"/>
  <c r="V60" i="1"/>
  <c r="X60" i="1"/>
  <c r="Z60" i="1" a="1"/>
  <c r="Z60" i="1" s="1"/>
  <c r="AB60" i="1" a="1"/>
  <c r="AB60" i="1" s="1"/>
  <c r="AD60" i="1"/>
  <c r="AF60" i="1"/>
  <c r="AH60" i="1"/>
  <c r="C61" i="1"/>
  <c r="D61" i="1"/>
  <c r="G61" i="1"/>
  <c r="I61" i="1"/>
  <c r="L61" i="1"/>
  <c r="N61" i="1"/>
  <c r="P61" i="1"/>
  <c r="R61" i="1"/>
  <c r="T61" i="1"/>
  <c r="V61" i="1"/>
  <c r="X61" i="1"/>
  <c r="Z61" i="1" a="1"/>
  <c r="Z61" i="1" s="1"/>
  <c r="AB61" i="1" a="1"/>
  <c r="AB61" i="1" s="1"/>
  <c r="AD61" i="1"/>
  <c r="AF61" i="1"/>
  <c r="AH61" i="1"/>
  <c r="C62" i="1"/>
  <c r="D62" i="1"/>
  <c r="G62" i="1"/>
  <c r="I62" i="1"/>
  <c r="L62" i="1"/>
  <c r="N62" i="1"/>
  <c r="P62" i="1"/>
  <c r="R62" i="1"/>
  <c r="T62" i="1"/>
  <c r="V62" i="1"/>
  <c r="X62" i="1"/>
  <c r="Z62" i="1" a="1"/>
  <c r="Z62" i="1" s="1"/>
  <c r="AB62" i="1" a="1"/>
  <c r="AB62" i="1" s="1"/>
  <c r="AD62" i="1"/>
  <c r="AF62" i="1"/>
  <c r="AH62" i="1"/>
  <c r="C63" i="1"/>
  <c r="D63" i="1"/>
  <c r="G63" i="1"/>
  <c r="I63" i="1"/>
  <c r="L63" i="1"/>
  <c r="N63" i="1"/>
  <c r="P63" i="1"/>
  <c r="R63" i="1"/>
  <c r="T63" i="1"/>
  <c r="V63" i="1"/>
  <c r="X63" i="1"/>
  <c r="Z63" i="1" a="1"/>
  <c r="Z63" i="1" s="1"/>
  <c r="AB63" i="1" a="1"/>
  <c r="AB63" i="1" s="1"/>
  <c r="AD63" i="1"/>
  <c r="AF63" i="1"/>
  <c r="AH63" i="1"/>
  <c r="C64" i="1"/>
  <c r="D64" i="1"/>
  <c r="G64" i="1"/>
  <c r="I64" i="1"/>
  <c r="L64" i="1"/>
  <c r="N64" i="1"/>
  <c r="P64" i="1"/>
  <c r="R64" i="1"/>
  <c r="T64" i="1"/>
  <c r="V64" i="1"/>
  <c r="X64" i="1"/>
  <c r="Z64" i="1" a="1"/>
  <c r="Z64" i="1" s="1"/>
  <c r="AB64" i="1" a="1"/>
  <c r="AB64" i="1" s="1"/>
  <c r="AD64" i="1"/>
  <c r="AF64" i="1"/>
  <c r="AH64" i="1"/>
  <c r="C65" i="1"/>
  <c r="D65" i="1"/>
  <c r="G65" i="1"/>
  <c r="I65" i="1"/>
  <c r="L65" i="1"/>
  <c r="N65" i="1"/>
  <c r="P65" i="1"/>
  <c r="R65" i="1"/>
  <c r="T65" i="1"/>
  <c r="V65" i="1"/>
  <c r="X65" i="1"/>
  <c r="Z65" i="1" a="1"/>
  <c r="Z65" i="1" s="1"/>
  <c r="AB65" i="1" a="1"/>
  <c r="AB65" i="1" s="1"/>
  <c r="AD65" i="1"/>
  <c r="AF65" i="1"/>
  <c r="AH65" i="1"/>
  <c r="C66" i="1"/>
  <c r="D66" i="1"/>
  <c r="G66" i="1"/>
  <c r="I66" i="1"/>
  <c r="L66" i="1"/>
  <c r="N66" i="1"/>
  <c r="P66" i="1"/>
  <c r="R66" i="1"/>
  <c r="T66" i="1"/>
  <c r="V66" i="1"/>
  <c r="X66" i="1"/>
  <c r="Z66" i="1" a="1"/>
  <c r="Z66" i="1" s="1"/>
  <c r="AB66" i="1" a="1"/>
  <c r="AB66" i="1" s="1"/>
  <c r="AD66" i="1"/>
  <c r="AF66" i="1"/>
  <c r="AH66" i="1"/>
  <c r="C67" i="1"/>
  <c r="D67" i="1"/>
  <c r="G67" i="1"/>
  <c r="I67" i="1"/>
  <c r="L67" i="1"/>
  <c r="N67" i="1"/>
  <c r="P67" i="1"/>
  <c r="R67" i="1"/>
  <c r="T67" i="1"/>
  <c r="V67" i="1"/>
  <c r="X67" i="1"/>
  <c r="Z67" i="1" a="1"/>
  <c r="Z67" i="1" s="1"/>
  <c r="AB67" i="1" a="1"/>
  <c r="AB67" i="1" s="1"/>
  <c r="AD67" i="1"/>
  <c r="AF67" i="1"/>
  <c r="AH67" i="1"/>
  <c r="C68" i="1"/>
  <c r="D68" i="1"/>
  <c r="G68" i="1"/>
  <c r="I68" i="1"/>
  <c r="L68" i="1"/>
  <c r="N68" i="1"/>
  <c r="P68" i="1"/>
  <c r="R68" i="1"/>
  <c r="T68" i="1"/>
  <c r="V68" i="1"/>
  <c r="X68" i="1"/>
  <c r="Z68" i="1" a="1"/>
  <c r="Z68" i="1" s="1"/>
  <c r="AB68" i="1" a="1"/>
  <c r="AB68" i="1" s="1"/>
  <c r="AD68" i="1"/>
  <c r="AF68" i="1"/>
  <c r="AH68" i="1"/>
  <c r="C69" i="1"/>
  <c r="D69" i="1"/>
  <c r="G69" i="1"/>
  <c r="I69" i="1"/>
  <c r="L69" i="1"/>
  <c r="N69" i="1"/>
  <c r="P69" i="1"/>
  <c r="R69" i="1"/>
  <c r="T69" i="1"/>
  <c r="V69" i="1"/>
  <c r="X69" i="1"/>
  <c r="Z69" i="1" a="1"/>
  <c r="Z69" i="1" s="1"/>
  <c r="AB69" i="1" a="1"/>
  <c r="AB69" i="1" s="1"/>
  <c r="AD69" i="1"/>
  <c r="AF69" i="1"/>
  <c r="AH69" i="1"/>
  <c r="C70" i="1"/>
  <c r="D70" i="1"/>
  <c r="G70" i="1"/>
  <c r="I70" i="1"/>
  <c r="L70" i="1"/>
  <c r="N70" i="1"/>
  <c r="P70" i="1"/>
  <c r="R70" i="1"/>
  <c r="T70" i="1"/>
  <c r="V70" i="1"/>
  <c r="X70" i="1"/>
  <c r="Z70" i="1" a="1"/>
  <c r="Z70" i="1" s="1"/>
  <c r="AB70" i="1" a="1"/>
  <c r="AB70" i="1" s="1"/>
  <c r="AD70" i="1"/>
  <c r="AF70" i="1"/>
  <c r="AH70" i="1"/>
  <c r="C71" i="1"/>
  <c r="D71" i="1"/>
  <c r="G71" i="1"/>
  <c r="I71" i="1"/>
  <c r="L71" i="1"/>
  <c r="N71" i="1"/>
  <c r="P71" i="1"/>
  <c r="R71" i="1"/>
  <c r="T71" i="1"/>
  <c r="V71" i="1"/>
  <c r="X71" i="1"/>
  <c r="Z71" i="1" a="1"/>
  <c r="Z71" i="1" s="1"/>
  <c r="AB71" i="1" a="1"/>
  <c r="AB71" i="1" s="1"/>
  <c r="AD71" i="1"/>
  <c r="AF71" i="1"/>
  <c r="AH71" i="1"/>
  <c r="C72" i="1"/>
  <c r="D72" i="1"/>
  <c r="G72" i="1"/>
  <c r="I72" i="1"/>
  <c r="L72" i="1"/>
  <c r="N72" i="1"/>
  <c r="P72" i="1"/>
  <c r="R72" i="1"/>
  <c r="T72" i="1"/>
  <c r="V72" i="1"/>
  <c r="X72" i="1"/>
  <c r="Z72" i="1" a="1"/>
  <c r="Z72" i="1" s="1"/>
  <c r="AB72" i="1" a="1"/>
  <c r="AB72" i="1"/>
  <c r="AD72" i="1"/>
  <c r="AF72" i="1"/>
  <c r="AH72" i="1"/>
  <c r="C73" i="1"/>
  <c r="D73" i="1"/>
  <c r="G73" i="1"/>
  <c r="I73" i="1"/>
  <c r="L73" i="1"/>
  <c r="N73" i="1"/>
  <c r="P73" i="1"/>
  <c r="R73" i="1"/>
  <c r="T73" i="1"/>
  <c r="V73" i="1"/>
  <c r="X73" i="1"/>
  <c r="Z73" i="1" a="1"/>
  <c r="Z73" i="1" s="1"/>
  <c r="AB73" i="1" a="1"/>
  <c r="AB73" i="1" s="1"/>
  <c r="AD73" i="1"/>
  <c r="AF73" i="1"/>
  <c r="AH73" i="1"/>
  <c r="C74" i="1"/>
  <c r="D74" i="1"/>
  <c r="G74" i="1"/>
  <c r="I74" i="1"/>
  <c r="L74" i="1"/>
  <c r="N74" i="1"/>
  <c r="P74" i="1"/>
  <c r="R74" i="1"/>
  <c r="T74" i="1"/>
  <c r="V74" i="1"/>
  <c r="X74" i="1"/>
  <c r="Z74" i="1" a="1"/>
  <c r="Z74" i="1" s="1"/>
  <c r="AB74" i="1" a="1"/>
  <c r="AB74" i="1" s="1"/>
  <c r="AD74" i="1"/>
  <c r="AF74" i="1"/>
  <c r="AH74" i="1"/>
  <c r="C75" i="1"/>
  <c r="D75" i="1"/>
  <c r="G75" i="1"/>
  <c r="I75" i="1"/>
  <c r="L75" i="1"/>
  <c r="N75" i="1"/>
  <c r="P75" i="1"/>
  <c r="R75" i="1"/>
  <c r="T75" i="1"/>
  <c r="V75" i="1"/>
  <c r="X75" i="1"/>
  <c r="Z75" i="1" a="1"/>
  <c r="Z75" i="1" s="1"/>
  <c r="AB75" i="1" a="1"/>
  <c r="AB75" i="1" s="1"/>
  <c r="AD75" i="1"/>
  <c r="AF75" i="1"/>
  <c r="AH75" i="1"/>
  <c r="C76" i="1"/>
  <c r="D76" i="1"/>
  <c r="G76" i="1"/>
  <c r="I76" i="1"/>
  <c r="L76" i="1"/>
  <c r="N76" i="1"/>
  <c r="P76" i="1"/>
  <c r="R76" i="1"/>
  <c r="T76" i="1"/>
  <c r="V76" i="1"/>
  <c r="X76" i="1"/>
  <c r="Z76" i="1" a="1"/>
  <c r="Z76" i="1" s="1"/>
  <c r="AB76" i="1" a="1"/>
  <c r="AB76" i="1" s="1"/>
  <c r="AD76" i="1"/>
  <c r="AF76" i="1"/>
  <c r="AH76" i="1"/>
  <c r="C77" i="1"/>
  <c r="D77" i="1"/>
  <c r="G77" i="1"/>
  <c r="I77" i="1"/>
  <c r="L77" i="1"/>
  <c r="N77" i="1"/>
  <c r="P77" i="1"/>
  <c r="R77" i="1"/>
  <c r="T77" i="1"/>
  <c r="V77" i="1"/>
  <c r="X77" i="1"/>
  <c r="Z77" i="1" a="1"/>
  <c r="Z77" i="1" s="1"/>
  <c r="AB77" i="1" a="1"/>
  <c r="AB77" i="1" s="1"/>
  <c r="AD77" i="1"/>
  <c r="AF77" i="1"/>
  <c r="AH77" i="1"/>
  <c r="C78" i="1"/>
  <c r="D78" i="1"/>
  <c r="G78" i="1"/>
  <c r="I78" i="1"/>
  <c r="L78" i="1"/>
  <c r="N78" i="1"/>
  <c r="P78" i="1"/>
  <c r="R78" i="1"/>
  <c r="T78" i="1"/>
  <c r="V78" i="1"/>
  <c r="X78" i="1"/>
  <c r="Z78" i="1" a="1"/>
  <c r="Z78" i="1" s="1"/>
  <c r="AB78" i="1" a="1"/>
  <c r="AB78" i="1" s="1"/>
  <c r="AD78" i="1"/>
  <c r="AF78" i="1"/>
  <c r="AH78" i="1"/>
  <c r="C79" i="1"/>
  <c r="D79" i="1"/>
  <c r="G79" i="1"/>
  <c r="I79" i="1"/>
  <c r="L79" i="1"/>
  <c r="N79" i="1"/>
  <c r="P79" i="1"/>
  <c r="R79" i="1"/>
  <c r="T79" i="1"/>
  <c r="V79" i="1"/>
  <c r="X79" i="1"/>
  <c r="Z79" i="1" a="1"/>
  <c r="Z79" i="1" s="1"/>
  <c r="AB79" i="1" a="1"/>
  <c r="AB79" i="1" s="1"/>
  <c r="AD79" i="1"/>
  <c r="AF79" i="1"/>
  <c r="AH79" i="1"/>
  <c r="C80" i="1"/>
  <c r="D80" i="1"/>
  <c r="G80" i="1"/>
  <c r="I80" i="1"/>
  <c r="L80" i="1"/>
  <c r="N80" i="1"/>
  <c r="P80" i="1"/>
  <c r="R80" i="1"/>
  <c r="T80" i="1"/>
  <c r="V80" i="1"/>
  <c r="X80" i="1"/>
  <c r="Z80" i="1" a="1"/>
  <c r="Z80" i="1" s="1"/>
  <c r="AB80" i="1" a="1"/>
  <c r="AB80" i="1" s="1"/>
  <c r="AD80" i="1"/>
  <c r="AF80" i="1"/>
  <c r="AH80" i="1"/>
  <c r="C81" i="1"/>
  <c r="D81" i="1"/>
  <c r="G81" i="1"/>
  <c r="I81" i="1"/>
  <c r="L81" i="1"/>
  <c r="N81" i="1"/>
  <c r="P81" i="1"/>
  <c r="R81" i="1"/>
  <c r="T81" i="1"/>
  <c r="V81" i="1"/>
  <c r="X81" i="1"/>
  <c r="Z81" i="1" a="1"/>
  <c r="Z81" i="1" s="1"/>
  <c r="AB81" i="1" a="1"/>
  <c r="AB81" i="1" s="1"/>
  <c r="AD81" i="1"/>
  <c r="AF81" i="1"/>
  <c r="AH81" i="1"/>
  <c r="C82" i="1"/>
  <c r="D82" i="1"/>
  <c r="G82" i="1"/>
  <c r="I82" i="1"/>
  <c r="L82" i="1"/>
  <c r="N82" i="1"/>
  <c r="P82" i="1"/>
  <c r="R82" i="1"/>
  <c r="T82" i="1"/>
  <c r="V82" i="1"/>
  <c r="X82" i="1"/>
  <c r="Z82" i="1" a="1"/>
  <c r="Z82" i="1" s="1"/>
  <c r="AB82" i="1" a="1"/>
  <c r="AB82" i="1" s="1"/>
  <c r="AD82" i="1"/>
  <c r="AF82" i="1"/>
  <c r="AH82" i="1"/>
  <c r="C83" i="1"/>
  <c r="D83" i="1"/>
  <c r="G83" i="1"/>
  <c r="I83" i="1"/>
  <c r="L83" i="1"/>
  <c r="N83" i="1"/>
  <c r="P83" i="1"/>
  <c r="R83" i="1"/>
  <c r="T83" i="1"/>
  <c r="V83" i="1"/>
  <c r="X83" i="1"/>
  <c r="Z83" i="1" a="1"/>
  <c r="Z83" i="1" s="1"/>
  <c r="AB83" i="1" a="1"/>
  <c r="AB83" i="1" s="1"/>
  <c r="AD83" i="1"/>
  <c r="AF83" i="1"/>
  <c r="AH83" i="1"/>
  <c r="C84" i="1"/>
  <c r="D84" i="1"/>
  <c r="G84" i="1"/>
  <c r="I84" i="1"/>
  <c r="L84" i="1"/>
  <c r="N84" i="1"/>
  <c r="P84" i="1"/>
  <c r="R84" i="1"/>
  <c r="T84" i="1"/>
  <c r="V84" i="1"/>
  <c r="X84" i="1"/>
  <c r="Z84" i="1" a="1"/>
  <c r="Z84" i="1" s="1"/>
  <c r="AB84" i="1" a="1"/>
  <c r="AB84" i="1" s="1"/>
  <c r="AD84" i="1"/>
  <c r="AF84" i="1"/>
  <c r="AH84" i="1"/>
  <c r="C85" i="1"/>
  <c r="D85" i="1"/>
  <c r="G85" i="1"/>
  <c r="I85" i="1"/>
  <c r="L85" i="1"/>
  <c r="N85" i="1"/>
  <c r="P85" i="1"/>
  <c r="R85" i="1"/>
  <c r="T85" i="1"/>
  <c r="V85" i="1"/>
  <c r="X85" i="1"/>
  <c r="Z85" i="1" a="1"/>
  <c r="Z85" i="1" s="1"/>
  <c r="AB85" i="1" a="1"/>
  <c r="AB85" i="1" s="1"/>
  <c r="AD85" i="1"/>
  <c r="AF85" i="1"/>
  <c r="AH85" i="1"/>
  <c r="C86" i="1"/>
  <c r="D86" i="1"/>
  <c r="G86" i="1"/>
  <c r="I86" i="1"/>
  <c r="L86" i="1"/>
  <c r="N86" i="1"/>
  <c r="P86" i="1"/>
  <c r="R86" i="1"/>
  <c r="T86" i="1"/>
  <c r="V86" i="1"/>
  <c r="X86" i="1"/>
  <c r="Z86" i="1" a="1"/>
  <c r="Z86" i="1" s="1"/>
  <c r="AB86" i="1" a="1"/>
  <c r="AB86" i="1" s="1"/>
  <c r="AD86" i="1"/>
  <c r="AF86" i="1"/>
  <c r="AH86" i="1"/>
  <c r="C87" i="1"/>
  <c r="D87" i="1"/>
  <c r="G87" i="1"/>
  <c r="I87" i="1"/>
  <c r="L87" i="1"/>
  <c r="N87" i="1"/>
  <c r="P87" i="1"/>
  <c r="R87" i="1"/>
  <c r="T87" i="1"/>
  <c r="V87" i="1"/>
  <c r="X87" i="1"/>
  <c r="Z87" i="1" a="1"/>
  <c r="Z87" i="1" s="1"/>
  <c r="AB87" i="1" a="1"/>
  <c r="AB87" i="1" s="1"/>
  <c r="AD87" i="1"/>
  <c r="AF87" i="1"/>
  <c r="AH87" i="1"/>
  <c r="C88" i="1"/>
  <c r="D88" i="1"/>
  <c r="G88" i="1"/>
  <c r="I88" i="1"/>
  <c r="L88" i="1"/>
  <c r="N88" i="1"/>
  <c r="P88" i="1"/>
  <c r="R88" i="1"/>
  <c r="T88" i="1"/>
  <c r="V88" i="1"/>
  <c r="X88" i="1"/>
  <c r="Z88" i="1" a="1"/>
  <c r="Z88" i="1" s="1"/>
  <c r="AB88" i="1" a="1"/>
  <c r="AB88" i="1" s="1"/>
  <c r="AD88" i="1"/>
  <c r="AF88" i="1"/>
  <c r="AH88" i="1"/>
  <c r="C89" i="1"/>
  <c r="D89" i="1"/>
  <c r="G89" i="1"/>
  <c r="I89" i="1"/>
  <c r="L89" i="1"/>
  <c r="N89" i="1"/>
  <c r="P89" i="1"/>
  <c r="R89" i="1"/>
  <c r="T89" i="1"/>
  <c r="V89" i="1"/>
  <c r="X89" i="1"/>
  <c r="Z89" i="1" a="1"/>
  <c r="Z89" i="1" s="1"/>
  <c r="AB89" i="1" a="1"/>
  <c r="AB89" i="1" s="1"/>
  <c r="AD89" i="1"/>
  <c r="AF89" i="1"/>
  <c r="AH89" i="1"/>
  <c r="C90" i="1"/>
  <c r="D90" i="1"/>
  <c r="G90" i="1"/>
  <c r="I90" i="1"/>
  <c r="L90" i="1"/>
  <c r="N90" i="1"/>
  <c r="P90" i="1"/>
  <c r="R90" i="1"/>
  <c r="T90" i="1"/>
  <c r="V90" i="1"/>
  <c r="X90" i="1"/>
  <c r="Z90" i="1" a="1"/>
  <c r="Z90" i="1" s="1"/>
  <c r="AB90" i="1" a="1"/>
  <c r="AB90" i="1"/>
  <c r="AD90" i="1"/>
  <c r="AF90" i="1"/>
  <c r="AH90" i="1"/>
  <c r="C91" i="1"/>
  <c r="D91" i="1"/>
  <c r="G91" i="1"/>
  <c r="I91" i="1"/>
  <c r="L91" i="1"/>
  <c r="N91" i="1"/>
  <c r="P91" i="1"/>
  <c r="R91" i="1"/>
  <c r="T91" i="1"/>
  <c r="V91" i="1"/>
  <c r="X91" i="1"/>
  <c r="Z91" i="1" a="1"/>
  <c r="Z91" i="1" s="1"/>
  <c r="AB91" i="1" a="1"/>
  <c r="AB91" i="1" s="1"/>
  <c r="AD91" i="1"/>
  <c r="AF91" i="1"/>
  <c r="AH91" i="1"/>
  <c r="C92" i="1"/>
  <c r="D92" i="1"/>
  <c r="G92" i="1"/>
  <c r="I92" i="1"/>
  <c r="L92" i="1"/>
  <c r="N92" i="1"/>
  <c r="P92" i="1"/>
  <c r="R92" i="1"/>
  <c r="T92" i="1"/>
  <c r="V92" i="1"/>
  <c r="X92" i="1"/>
  <c r="Z92" i="1" a="1"/>
  <c r="Z92" i="1" s="1"/>
  <c r="AB92" i="1" a="1"/>
  <c r="AB92" i="1" s="1"/>
  <c r="AD92" i="1"/>
  <c r="AF92" i="1"/>
  <c r="AH92" i="1"/>
  <c r="C93" i="1"/>
  <c r="D93" i="1"/>
  <c r="G93" i="1"/>
  <c r="I93" i="1"/>
  <c r="L93" i="1"/>
  <c r="N93" i="1"/>
  <c r="P93" i="1"/>
  <c r="R93" i="1"/>
  <c r="T93" i="1"/>
  <c r="V93" i="1"/>
  <c r="X93" i="1"/>
  <c r="Z93" i="1" a="1"/>
  <c r="Z93" i="1" s="1"/>
  <c r="AB93" i="1" a="1"/>
  <c r="AB93" i="1" s="1"/>
  <c r="AD93" i="1"/>
  <c r="AF93" i="1"/>
  <c r="AH93" i="1"/>
  <c r="C94" i="1"/>
  <c r="D94" i="1"/>
  <c r="G94" i="1"/>
  <c r="I94" i="1"/>
  <c r="L94" i="1"/>
  <c r="N94" i="1"/>
  <c r="P94" i="1"/>
  <c r="R94" i="1"/>
  <c r="T94" i="1"/>
  <c r="V94" i="1"/>
  <c r="X94" i="1"/>
  <c r="Z94" i="1" a="1"/>
  <c r="Z94" i="1" s="1"/>
  <c r="AB94" i="1" a="1"/>
  <c r="AB94" i="1" s="1"/>
  <c r="AD94" i="1"/>
  <c r="AF94" i="1"/>
  <c r="AH94" i="1"/>
  <c r="C95" i="1"/>
  <c r="D95" i="1"/>
  <c r="G95" i="1"/>
  <c r="I95" i="1"/>
  <c r="L95" i="1"/>
  <c r="N95" i="1"/>
  <c r="P95" i="1"/>
  <c r="R95" i="1"/>
  <c r="T95" i="1"/>
  <c r="V95" i="1"/>
  <c r="X95" i="1"/>
  <c r="Z95" i="1" a="1"/>
  <c r="Z95" i="1" s="1"/>
  <c r="AB95" i="1" a="1"/>
  <c r="AB95" i="1" s="1"/>
  <c r="AD95" i="1"/>
  <c r="AF95" i="1"/>
  <c r="AH95" i="1"/>
  <c r="C96" i="1"/>
  <c r="D96" i="1"/>
  <c r="G96" i="1"/>
  <c r="I96" i="1"/>
  <c r="L96" i="1"/>
  <c r="N96" i="1"/>
  <c r="P96" i="1"/>
  <c r="R96" i="1"/>
  <c r="T96" i="1"/>
  <c r="V96" i="1"/>
  <c r="X96" i="1"/>
  <c r="Z96" i="1" a="1"/>
  <c r="Z96" i="1" s="1"/>
  <c r="AB96" i="1" a="1"/>
  <c r="AB96" i="1" s="1"/>
  <c r="AD96" i="1"/>
  <c r="AF96" i="1"/>
  <c r="AH96" i="1"/>
  <c r="C97" i="1"/>
  <c r="D97" i="1"/>
  <c r="G97" i="1"/>
  <c r="I97" i="1"/>
  <c r="L97" i="1"/>
  <c r="N97" i="1"/>
  <c r="P97" i="1"/>
  <c r="R97" i="1"/>
  <c r="T97" i="1"/>
  <c r="V97" i="1"/>
  <c r="X97" i="1"/>
  <c r="Z97" i="1" a="1"/>
  <c r="Z97" i="1" s="1"/>
  <c r="AB97" i="1" a="1"/>
  <c r="AB97" i="1" s="1"/>
  <c r="AD97" i="1"/>
  <c r="AF97" i="1"/>
  <c r="AH97" i="1"/>
  <c r="C98" i="1"/>
  <c r="D98" i="1"/>
  <c r="G98" i="1"/>
  <c r="I98" i="1"/>
  <c r="L98" i="1"/>
  <c r="N98" i="1"/>
  <c r="P98" i="1"/>
  <c r="R98" i="1"/>
  <c r="T98" i="1"/>
  <c r="V98" i="1"/>
  <c r="X98" i="1"/>
  <c r="Z98" i="1" a="1"/>
  <c r="Z98" i="1" s="1"/>
  <c r="AB98" i="1" a="1"/>
  <c r="AB98" i="1" s="1"/>
  <c r="AD98" i="1"/>
  <c r="AF98" i="1"/>
  <c r="AH98" i="1"/>
  <c r="C99" i="1"/>
  <c r="D99" i="1"/>
  <c r="G99" i="1"/>
  <c r="I99" i="1"/>
  <c r="L99" i="1"/>
  <c r="N99" i="1"/>
  <c r="P99" i="1"/>
  <c r="R99" i="1"/>
  <c r="T99" i="1"/>
  <c r="V99" i="1"/>
  <c r="X99" i="1"/>
  <c r="Z99" i="1" a="1"/>
  <c r="Z99" i="1" s="1"/>
  <c r="AB99" i="1" a="1"/>
  <c r="AB99" i="1" s="1"/>
  <c r="AD99" i="1"/>
  <c r="AF99" i="1"/>
  <c r="AH99" i="1"/>
  <c r="AI100" i="1" l="1"/>
  <c r="AI32" i="1"/>
  <c r="AI101" i="1"/>
  <c r="AI58" i="1"/>
  <c r="AI7" i="1"/>
  <c r="AI42" i="1"/>
  <c r="AI98" i="1"/>
  <c r="AI18" i="1"/>
  <c r="AI2" i="1"/>
  <c r="AI94" i="1"/>
  <c r="AI12" i="1"/>
  <c r="AI9" i="1"/>
  <c r="AI80" i="1"/>
  <c r="AI44" i="1"/>
  <c r="AI54" i="1"/>
  <c r="AI63" i="1"/>
  <c r="AI15" i="1"/>
  <c r="AI39" i="1"/>
  <c r="AI77" i="1"/>
  <c r="AI48" i="1"/>
  <c r="AI57" i="1"/>
  <c r="AI11" i="1"/>
  <c r="AI93" i="1"/>
  <c r="AI68" i="1"/>
  <c r="AI70" i="1"/>
  <c r="AI61" i="1"/>
  <c r="AI56" i="1"/>
  <c r="AI20" i="1"/>
  <c r="AI14" i="1"/>
  <c r="AI82" i="1"/>
  <c r="AI84" i="1"/>
  <c r="AI24" i="1"/>
  <c r="AI3" i="1"/>
  <c r="AI74" i="1"/>
  <c r="AI41" i="1"/>
  <c r="AI10" i="1"/>
  <c r="AI8" i="1"/>
  <c r="AI36" i="1"/>
  <c r="AI92" i="1"/>
  <c r="AI78" i="1"/>
  <c r="AI62" i="1"/>
  <c r="AI55" i="1"/>
  <c r="AI43" i="1"/>
  <c r="AI59" i="1"/>
  <c r="AI35" i="1"/>
  <c r="AI17" i="1"/>
  <c r="AI86" i="1"/>
  <c r="AI13" i="1"/>
  <c r="AI26" i="1"/>
  <c r="AI29" i="1"/>
  <c r="AI83" i="1"/>
  <c r="AI31" i="1"/>
  <c r="AI19" i="1"/>
  <c r="AI38" i="1"/>
  <c r="AI21" i="1"/>
  <c r="AI73" i="1"/>
  <c r="AI97" i="1"/>
  <c r="AI87" i="1"/>
  <c r="AI91" i="1"/>
  <c r="AI66" i="1"/>
  <c r="AI50" i="1"/>
  <c r="AI45" i="1"/>
  <c r="AI33" i="1"/>
  <c r="AI16" i="1"/>
  <c r="AI6" i="1"/>
  <c r="AI99" i="1"/>
  <c r="AI79" i="1"/>
  <c r="AI51" i="1"/>
  <c r="AI47" i="1"/>
  <c r="AI95" i="1"/>
  <c r="AI90" i="1"/>
  <c r="AI81" i="1"/>
  <c r="AI72" i="1"/>
  <c r="AI65" i="1"/>
  <c r="AI49" i="1"/>
  <c r="AI85" i="1"/>
  <c r="AI67" i="1"/>
  <c r="AI37" i="1"/>
  <c r="AI30" i="1"/>
  <c r="AI27" i="1"/>
  <c r="AI23" i="1"/>
  <c r="AI69" i="1"/>
  <c r="AI46" i="1"/>
  <c r="AI25" i="1"/>
  <c r="AI96" i="1"/>
  <c r="AI89" i="1"/>
  <c r="AI75" i="1"/>
  <c r="AI60" i="1"/>
  <c r="AI53" i="1"/>
  <c r="AI34" i="1"/>
  <c r="AI71" i="1"/>
  <c r="AI22" i="1"/>
  <c r="AI5" i="1"/>
  <c r="AI88" i="1"/>
  <c r="AI76" i="1"/>
  <c r="AI64" i="1"/>
  <c r="AI52" i="1"/>
  <c r="AI40" i="1"/>
  <c r="AI28" i="1"/>
  <c r="AI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<sst xmlns="http://schemas.openxmlformats.org/spreadsheetml/2006/main" count="2127" uniqueCount="274">
  <si>
    <t>Makeup</t>
  </si>
  <si>
    <t>Beauty</t>
  </si>
  <si>
    <t>Home Office</t>
  </si>
  <si>
    <t>Phone</t>
  </si>
  <si>
    <t xml:space="preserve"> SOUTH </t>
  </si>
  <si>
    <t>Haircare</t>
  </si>
  <si>
    <t>Corporate</t>
  </si>
  <si>
    <t>In Store</t>
  </si>
  <si>
    <t>west</t>
  </si>
  <si>
    <t>Home</t>
  </si>
  <si>
    <t>consumer</t>
  </si>
  <si>
    <t>Online</t>
  </si>
  <si>
    <t>Decor</t>
  </si>
  <si>
    <t>Northeast</t>
  </si>
  <si>
    <t>Consumer</t>
  </si>
  <si>
    <t>West</t>
  </si>
  <si>
    <t>Grocery</t>
  </si>
  <si>
    <t>online</t>
  </si>
  <si>
    <t>Men</t>
  </si>
  <si>
    <t>Apparel</t>
  </si>
  <si>
    <t>Women</t>
  </si>
  <si>
    <t>Midwest</t>
  </si>
  <si>
    <t>Audio</t>
  </si>
  <si>
    <t>Electronics</t>
  </si>
  <si>
    <t>Snacks</t>
  </si>
  <si>
    <t>Laptops</t>
  </si>
  <si>
    <t>Kids</t>
  </si>
  <si>
    <t>In-Store</t>
  </si>
  <si>
    <t>Pantry</t>
  </si>
  <si>
    <t>Beverages</t>
  </si>
  <si>
    <t>Mobile App</t>
  </si>
  <si>
    <t>Skincare</t>
  </si>
  <si>
    <t>Furniture</t>
  </si>
  <si>
    <t>South</t>
  </si>
  <si>
    <t>Phones</t>
  </si>
  <si>
    <t>Bedding</t>
  </si>
  <si>
    <t>Produce</t>
  </si>
  <si>
    <t>Kitchen</t>
  </si>
  <si>
    <t>Fragrance</t>
  </si>
  <si>
    <t>Accessories</t>
  </si>
  <si>
    <t>Shoes</t>
  </si>
  <si>
    <t>226.04999999999998</t>
  </si>
  <si>
    <t>179.39999999999998</t>
  </si>
  <si>
    <t>262.53000000000003</t>
  </si>
  <si>
    <t>31.75801818889278</t>
  </si>
  <si>
    <t>34.72151485591989</t>
  </si>
  <si>
    <t>117.76848514408009</t>
  </si>
  <si>
    <t>152.48999999999998</t>
  </si>
  <si>
    <t>31.634633251081624</t>
  </si>
  <si>
    <t>132.72371674891838</t>
  </si>
  <si>
    <t>190.45000000000002</t>
  </si>
  <si>
    <t>26.154059627111835</t>
  </si>
  <si>
    <t>59.448660372888156</t>
  </si>
  <si>
    <t>85.60271999999999</t>
  </si>
  <si>
    <t>22.766909811565405</t>
  </si>
  <si>
    <t>47.64971018843459</t>
  </si>
  <si>
    <t>25.500179372671752</t>
  </si>
  <si>
    <t>95.58590062732826</t>
  </si>
  <si>
    <t>121.08608000000001</t>
  </si>
  <si>
    <t>33.82517528613988</t>
  </si>
  <si>
    <t>89.13480471386012</t>
  </si>
  <si>
    <t>22.110347072271082</t>
  </si>
  <si>
    <t>55.86389292772891</t>
  </si>
  <si>
    <t>16.59943042189414</t>
  </si>
  <si>
    <t>25.945819578105855</t>
  </si>
  <si>
    <t>42.545249999999996</t>
  </si>
  <si>
    <t>33.087060177590104</t>
  </si>
  <si>
    <t>33.24039900751629</t>
  </si>
  <si>
    <t>54.417440992483705</t>
  </si>
  <si>
    <t>19.59830886631241</t>
  </si>
  <si>
    <t>74.39544889939202</t>
  </si>
  <si>
    <t>197.09633110060798</t>
  </si>
  <si>
    <t>44.65221154184677</t>
  </si>
  <si>
    <t>95.57358845815325</t>
  </si>
  <si>
    <t>140.22580000000002</t>
  </si>
  <si>
    <t>20.064997605552435</t>
  </si>
  <si>
    <t>49.64195239444756</t>
  </si>
  <si>
    <t>69.70694999999999</t>
  </si>
  <si>
    <t>25.050282240119657</t>
  </si>
  <si>
    <t>71.01337775988034</t>
  </si>
  <si>
    <t>23.229234527212597</t>
  </si>
  <si>
    <t>129.18563999999998</t>
  </si>
  <si>
    <t>248.1839109246805</t>
  </si>
  <si>
    <t>531.5703290753195</t>
  </si>
  <si>
    <t>3.6787760803016525</t>
  </si>
  <si>
    <t>11.384623919698347</t>
  </si>
  <si>
    <t>49.32260642170604</t>
  </si>
  <si>
    <t>137.74581357829396</t>
  </si>
  <si>
    <t>23.815400217428916</t>
  </si>
  <si>
    <t>95.67571978257108</t>
  </si>
  <si>
    <t>27.502950161249288</t>
  </si>
  <si>
    <t>80.24215983875071</t>
  </si>
  <si>
    <t>28.816249105721894</t>
  </si>
  <si>
    <t>118.7864286558596</t>
  </si>
  <si>
    <t>621.9171713441403</t>
  </si>
  <si>
    <t>740.7035999999999</t>
  </si>
  <si>
    <t>46.51611912138421</t>
  </si>
  <si>
    <t>180.9725208786158</t>
  </si>
  <si>
    <t>50.023050000000005</t>
  </si>
  <si>
    <t>15.112744991361495</t>
  </si>
  <si>
    <t>20.888199213072028</t>
  </si>
  <si>
    <t>54.73434078692797</t>
  </si>
  <si>
    <t>15.239621048407201</t>
  </si>
  <si>
    <t>76.48777558507302</t>
  </si>
  <si>
    <t>146.01190441492693</t>
  </si>
  <si>
    <t>222.49967999999996</t>
  </si>
  <si>
    <t>203.2581777029436</t>
  </si>
  <si>
    <t>424.84342229705635</t>
  </si>
  <si>
    <t>56.57655233838358</t>
  </si>
  <si>
    <t>169.45991766161643</t>
  </si>
  <si>
    <t>183.32654999999997</t>
  </si>
  <si>
    <t>132.7490001450706</t>
  </si>
  <si>
    <t>134.1310242148362</t>
  </si>
  <si>
    <t>10.915360168680355</t>
  </si>
  <si>
    <t>18.998809831319644</t>
  </si>
  <si>
    <t>24.11878532525322</t>
  </si>
  <si>
    <t>36.10269467474678</t>
  </si>
  <si>
    <t>45.054550912439794</t>
  </si>
  <si>
    <t>225.22404908756025</t>
  </si>
  <si>
    <t>270.27860000000004</t>
  </si>
  <si>
    <t>25.02582164772423</t>
  </si>
  <si>
    <t>141.51137835227578</t>
  </si>
  <si>
    <t>97.40539300654663</t>
  </si>
  <si>
    <t>153.8358169934534</t>
  </si>
  <si>
    <t>251.24121000000002</t>
  </si>
  <si>
    <t>52.51372825095952</t>
  </si>
  <si>
    <t>83.25035174904049</t>
  </si>
  <si>
    <t>33.32636837736277</t>
  </si>
  <si>
    <t>165.42493162263725</t>
  </si>
  <si>
    <t>198.75130000000001</t>
  </si>
  <si>
    <t>10.41283427682054</t>
  </si>
  <si>
    <t>27.869685723179465</t>
  </si>
  <si>
    <t>38.282520000000005</t>
  </si>
  <si>
    <t>580.5600000000001</t>
  </si>
  <si>
    <t>52.01676456445169</t>
  </si>
  <si>
    <t>52.65625606637343</t>
  </si>
  <si>
    <t>75.87254393362659</t>
  </si>
  <si>
    <t>128.52880000000002</t>
  </si>
  <si>
    <t>11.663603815718545</t>
  </si>
  <si>
    <t>41.133476184281456</t>
  </si>
  <si>
    <t>23.98195129995476</t>
  </si>
  <si>
    <t>76.93813870004524</t>
  </si>
  <si>
    <t>80.13459999999999</t>
  </si>
  <si>
    <t>15.135543281034849</t>
  </si>
  <si>
    <t>53.35950671896514</t>
  </si>
  <si>
    <t>68.49504999999999</t>
  </si>
  <si>
    <t>15.780546407509995</t>
  </si>
  <si>
    <t>42.667253592490006</t>
  </si>
  <si>
    <t>18.676775185320736</t>
  </si>
  <si>
    <t>36.91512481467927</t>
  </si>
  <si>
    <t>8.056231912229993</t>
  </si>
  <si>
    <t>37.514399999999995</t>
  </si>
  <si>
    <t>2.033714363527439</t>
  </si>
  <si>
    <t>96.51254807720082</t>
  </si>
  <si>
    <t>127.42641192279916</t>
  </si>
  <si>
    <t>223.93895999999998</t>
  </si>
  <si>
    <t>31.722481300106026</t>
  </si>
  <si>
    <t>45.14282869989398</t>
  </si>
  <si>
    <t>76.86531000000001</t>
  </si>
  <si>
    <t>48.32257144679113</t>
  </si>
  <si>
    <t>158.01826855320888</t>
  </si>
  <si>
    <t>206.34084000000001</t>
  </si>
  <si>
    <t>23.41023008330366</t>
  </si>
  <si>
    <t>43.88634991669633</t>
  </si>
  <si>
    <t>67.29657999999999</t>
  </si>
  <si>
    <t>23.099400000000003</t>
  </si>
  <si>
    <t>40.46435829024364</t>
  </si>
  <si>
    <t>220.88092170975636</t>
  </si>
  <si>
    <t>139.51994042512197</t>
  </si>
  <si>
    <t>228.16149957487804</t>
  </si>
  <si>
    <t>29.181883816125122</t>
  </si>
  <si>
    <t>160.12405618387484</t>
  </si>
  <si>
    <t>189.30593999999996</t>
  </si>
  <si>
    <t>257.90999999999997</t>
  </si>
  <si>
    <t>6.7018525701755856</t>
  </si>
  <si>
    <t>11.632827429824417</t>
  </si>
  <si>
    <t>18.334680000000002</t>
  </si>
  <si>
    <t>22.14467674601387</t>
  </si>
  <si>
    <t>66.69022325398613</t>
  </si>
  <si>
    <t>82.82529238356835</t>
  </si>
  <si>
    <t>272.62078761643164</t>
  </si>
  <si>
    <t>57.82815245095222</t>
  </si>
  <si>
    <t>177.4866475490478</t>
  </si>
  <si>
    <t>235.31480000000002</t>
  </si>
  <si>
    <t>48.816249275114046</t>
  </si>
  <si>
    <t>144.78485072488596</t>
  </si>
  <si>
    <t>10.494348078094502</t>
  </si>
  <si>
    <t>26.004450000000002</t>
  </si>
  <si>
    <t>21.058786411409816</t>
  </si>
  <si>
    <t>30.69151358859018</t>
  </si>
  <si>
    <t>51.750299999999996</t>
  </si>
  <si>
    <t>63.49381522102095</t>
  </si>
  <si>
    <t>143.36938477897905</t>
  </si>
  <si>
    <t>71.00840859491859</t>
  </si>
  <si>
    <t>88.72847999999999</t>
  </si>
  <si>
    <t>180.21459576081816</t>
  </si>
  <si>
    <t>617.0090042391818</t>
  </si>
  <si>
    <t>39.20282514246898</t>
  </si>
  <si>
    <t>196.85131485753104</t>
  </si>
  <si>
    <t>24.10573782416713</t>
  </si>
  <si>
    <t>30.54406217583287</t>
  </si>
  <si>
    <t>16.332715986104844</t>
  </si>
  <si>
    <t>financial_completeness_flag</t>
  </si>
  <si>
    <t>return_flag_clean</t>
  </si>
  <si>
    <t>return_flag</t>
  </si>
  <si>
    <t>satisfaction_score_clean</t>
  </si>
  <si>
    <t>satisfaction_score</t>
  </si>
  <si>
    <t>shipping_days_clean</t>
  </si>
  <si>
    <t>shipping_days</t>
  </si>
  <si>
    <t>profit_clean</t>
  </si>
  <si>
    <t>profit</t>
  </si>
  <si>
    <t>cost_clean</t>
  </si>
  <si>
    <t>cost</t>
  </si>
  <si>
    <t>net_sales_clean</t>
  </si>
  <si>
    <t>net_sales</t>
  </si>
  <si>
    <t>gross_sales_clean</t>
  </si>
  <si>
    <t>gross_sales</t>
  </si>
  <si>
    <t>quantity_clean</t>
  </si>
  <si>
    <t>quantity</t>
  </si>
  <si>
    <t>unit_price_cleaned</t>
  </si>
  <si>
    <t>unit_price</t>
  </si>
  <si>
    <t>subcategory_clean</t>
  </si>
  <si>
    <t>subcategory</t>
  </si>
  <si>
    <t>category_clean</t>
  </si>
  <si>
    <t>category</t>
  </si>
  <si>
    <t>customer_segment_clean</t>
  </si>
  <si>
    <t>customer_segment</t>
  </si>
  <si>
    <t>customer_id</t>
  </si>
  <si>
    <t>channel_clean</t>
  </si>
  <si>
    <t>channel</t>
  </si>
  <si>
    <t>region_clean</t>
  </si>
  <si>
    <t>region</t>
  </si>
  <si>
    <t>store_id</t>
  </si>
  <si>
    <t>order_time_clean</t>
  </si>
  <si>
    <t>order_date_clean</t>
  </si>
  <si>
    <t>order_timestamp</t>
  </si>
  <si>
    <t>order_id</t>
  </si>
  <si>
    <t>negative nuneric values, flagge records as returns</t>
  </si>
  <si>
    <t>flag logic</t>
  </si>
  <si>
    <t>negative / blank values</t>
  </si>
  <si>
    <t>created 'financial_status_flag'  column to classify records as "Not Usable", "Incomplete", "Complete"</t>
  </si>
  <si>
    <t xml:space="preserve">flag creation </t>
  </si>
  <si>
    <t xml:space="preserve">blank values  </t>
  </si>
  <si>
    <t xml:space="preserve">gross_sales, net_sales, cost, profit </t>
  </si>
  <si>
    <r>
      <t xml:space="preserve">used in </t>
    </r>
    <r>
      <rPr>
        <sz val="10"/>
        <color theme="1"/>
        <rFont val="Arial Unicode MS"/>
      </rPr>
      <t>financial_status_flag</t>
    </r>
    <r>
      <rPr>
        <sz val="11"/>
        <color theme="1"/>
        <rFont val="Aptos Narrow"/>
        <family val="2"/>
        <scheme val="minor"/>
      </rPr>
      <t xml:space="preserve"> to classify record completeness</t>
    </r>
  </si>
  <si>
    <t xml:space="preserve"> imputed profit using net_sales_clean − cost_clean where raw profit was blank, resolved 1 record</t>
  </si>
  <si>
    <t>imputation</t>
  </si>
  <si>
    <t xml:space="preserve">profit </t>
  </si>
  <si>
    <t>converted to numeric text, then to real number; formatted as number</t>
  </si>
  <si>
    <t>cleaning</t>
  </si>
  <si>
    <t>inconsistent formatting</t>
  </si>
  <si>
    <t>blank records, Imputed cost using net_sales_clean − profit_clean where raw cost was blank, resolved 3,498 records</t>
  </si>
  <si>
    <t>trimmed, cleaned,standardized values</t>
  </si>
  <si>
    <t>blank records reclassified as "Unknown"</t>
  </si>
  <si>
    <t>standarization</t>
  </si>
  <si>
    <t>split into separate 'order_date' and  'order_time' columns</t>
  </si>
  <si>
    <t>structural</t>
  </si>
  <si>
    <t>date and time combined</t>
  </si>
  <si>
    <t>Resolution</t>
  </si>
  <si>
    <t>Fix_type</t>
  </si>
  <si>
    <t>Issue</t>
  </si>
  <si>
    <t>Column</t>
  </si>
  <si>
    <t>Complete</t>
  </si>
  <si>
    <t/>
  </si>
  <si>
    <t>Incomplete</t>
  </si>
  <si>
    <t>Unknown</t>
  </si>
  <si>
    <t>Not Usable</t>
  </si>
  <si>
    <t>order_time</t>
  </si>
  <si>
    <t>order_date</t>
  </si>
  <si>
    <t>raw_data_retail_transactions</t>
  </si>
  <si>
    <t>Source Sheet:</t>
  </si>
  <si>
    <t xml:space="preserve"> 1/28/2026</t>
  </si>
  <si>
    <t>Cleaned On:</t>
  </si>
  <si>
    <t>Dataset Version: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</si>
</sst>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E2E2E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2" fontId="0" fillId="0" borderId="0" xfId="0" applyNumberFormat="1"/>
    <xf numFmtId="164" fontId="0" fillId="0" borderId="0" xfId="0" applyNumberFormat="1"/>
    <xf numFmtId="14" fontId="0" fillId="0" borderId="0" xfId="0" applyNumberFormat="1"/>
    <xf numFmtId="2" fontId="0" fillId="0" borderId="0" xfId="0" quotePrefix="1" applyNumberFormat="1"/>
    <xf numFmtId="0" fontId="0" fillId="0" borderId="0" xfId="0" quotePrefix="1"/>
    <xf numFmtId="22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/>
    </xf>
    <xf numFmtId="14" fontId="0" fillId="0" borderId="1" xfId="0" applyNumberFormat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/>
  </cellXfs>
  <cellStyles count="1">
    <cellStyle name="Normal" xfId="0" builtinId="0"/>
  </cellStyles>
  <dxfs count="39"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409]h:mm\ AM/PM;@"/>
    </dxf>
    <dxf>
      <numFmt numFmtId="19" formatCode="m/d/yyyy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409]h:mm\ AM/PM;@"/>
    </dxf>
    <dxf>
      <numFmt numFmtId="19" formatCode="m/d/yyyy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56E41C-7658-46DD-B87B-3A4D68C065AC}" name="Table162" displayName="Table162" ref="A5:T106" totalsRowShown="0">
  <autoFilter ref="A5:T106" xr:uid="{2CE74E93-85EB-4EB2-AD34-036662B36359}"/>
  <tableColumns count="20">
    <tableColumn id="1" xr3:uid="{76B18667-4D23-4FE5-8D8F-CC76C8574995}" name="order_id"/>
    <tableColumn id="27" xr3:uid="{6821355F-1581-4ACF-82DB-C198D536B527}" name="order_date" dataDxfId="17"/>
    <tableColumn id="28" xr3:uid="{8F8CD0C1-468E-4627-BC1F-359767334068}" name="order_time" dataDxfId="16"/>
    <tableColumn id="3" xr3:uid="{6AC01FF8-9C1C-46CA-8822-B74B97F32099}" name="store_id"/>
    <tableColumn id="24" xr3:uid="{B6342F27-F7F9-4C04-B78A-346248DAE820}" name="region" dataDxfId="15"/>
    <tableColumn id="25" xr3:uid="{5870AB40-7929-4413-84B8-B218AE0C3285}" name="channel" dataDxfId="14"/>
    <tableColumn id="6" xr3:uid="{07F1CC9B-73BB-4517-AD40-CA1E7527B6B6}" name="customer_id"/>
    <tableColumn id="26" xr3:uid="{ABE4C9D3-79E2-4FAC-802F-380001AA776E}" name="customer_segment" dataDxfId="13"/>
    <tableColumn id="29" xr3:uid="{4EA758E9-AF3C-4DE0-B0E0-6F60BFBAB2C4}" name="category" dataDxfId="12"/>
    <tableColumn id="30" xr3:uid="{2045EC5F-D29D-4357-BA48-8CA3DB352D05}" name="subcategory" dataDxfId="11"/>
    <tableColumn id="39" xr3:uid="{85703BC7-B37F-45C5-87DA-A61E69E9DA52}" name="unit_price" dataDxfId="10"/>
    <tableColumn id="37" xr3:uid="{523065B1-9113-4732-96A7-53DB37E432E8}" name="quantity" dataDxfId="9"/>
    <tableColumn id="34" xr3:uid="{6BBD1986-A6C5-478D-9A48-F8CCE262F449}" name="gross_sales" dataDxfId="8"/>
    <tableColumn id="35" xr3:uid="{8D8D65DC-7E9D-4FC2-96B9-2F9DF3FD36DE}" name="net_sales" dataDxfId="7"/>
    <tableColumn id="33" xr3:uid="{F0875764-D490-40A7-82BF-2B5433E67B57}" name="cost" dataDxfId="6"/>
    <tableColumn id="20" xr3:uid="{0665DD70-320E-43A5-B007-3B3401006A1B}" name="profit" dataDxfId="5"/>
    <tableColumn id="40" xr3:uid="{3AD9DAC6-0325-4178-B5ED-9018C1239A38}" name="shipping_days" dataDxfId="4"/>
    <tableColumn id="38" xr3:uid="{EC647458-7556-4226-9F58-27AE5BA0238A}" name="satisfaction_score" dataDxfId="3"/>
    <tableColumn id="32" xr3:uid="{EBE6BD68-E5AB-4794-B9BA-4C0758790AF0}" name="return_flag" dataDxfId="2"/>
    <tableColumn id="36" xr3:uid="{6EC37943-CA87-410E-BCCF-51E82F69D919}" name="financial_completeness_flag" dataDxfId="1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ABC69BF-457F-4D51-B498-797A04846C79}" name="Table14" displayName="Table14" ref="A1:Q101" totalsRowShown="0">
  <tableColumns count="17">
    <tableColumn id="1" xr3:uid="{D9CC4E68-2CFA-45C0-BB26-34A8CB278BC5}" name="order_id"/>
    <tableColumn id="2" xr3:uid="{B978735E-9A97-4BAA-804C-131D14FEAFEB}" name="order_timestamp" dataDxfId="0"/>
    <tableColumn id="3" xr3:uid="{AEB212AE-4AB6-4E0C-B9F3-C76DE5CF9FB9}" name="store_id"/>
    <tableColumn id="4" xr3:uid="{0A396916-9A1F-4C94-A2C9-7C602E1A5C67}" name="region"/>
    <tableColumn id="5" xr3:uid="{59B9EDD1-B258-4B27-9953-7BAAC8E95392}" name="channel"/>
    <tableColumn id="6" xr3:uid="{25BA08F3-E993-46E3-BA2C-42E322203E89}" name="customer_id"/>
    <tableColumn id="7" xr3:uid="{4219F16F-8EDA-48F9-8D2C-FA4BE1416BD1}" name="customer_segment"/>
    <tableColumn id="8" xr3:uid="{52CBD16C-089B-4FF1-8642-AC938425BBB2}" name="category"/>
    <tableColumn id="9" xr3:uid="{CA6E2595-68DA-45AF-8D8F-379B5D22A427}" name="subcategory"/>
    <tableColumn id="10" xr3:uid="{E3520A10-5F1B-4F64-8E0E-18784521BB62}" name="unit_price"/>
    <tableColumn id="11" xr3:uid="{4615404D-C8EC-4697-8C35-F4098D523FFA}" name="quantity"/>
    <tableColumn id="13" xr3:uid="{A970CC42-3A0B-4339-A9C0-08A1176BD996}" name="gross_sales"/>
    <tableColumn id="15" xr3:uid="{F7DA988B-5409-4B41-9C99-A614754AA347}" name="cost"/>
    <tableColumn id="16" xr3:uid="{874C0D85-4F5A-40FC-8A55-6C50829A2016}" name="profit"/>
    <tableColumn id="17" xr3:uid="{A475B5A6-E48A-4CCC-A5E2-7A474BCD402D}" name="shipping_days"/>
    <tableColumn id="18" xr3:uid="{FFFC62F7-6A89-40B4-A959-D42133FF4A02}" name="satisfaction_score"/>
    <tableColumn id="19" xr3:uid="{F2670335-678E-4051-A66F-2C5D28E4D346}" name="return_flag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50494D-2E74-4D9C-97D3-F5984B2EC967}" name="Table1" displayName="Table1" ref="A1:AI101" totalsRowShown="0">
  <autoFilter ref="A1:AI101" xr:uid="{2CE74E93-85EB-4EB2-AD34-036662B36359}"/>
  <tableColumns count="35">
    <tableColumn id="1" xr3:uid="{D9CC4E68-2CFA-45C0-BB26-34A8CB278BC5}" name="order_id"/>
    <tableColumn id="2" xr3:uid="{B978735E-9A97-4BAA-804C-131D14FEAFEB}" name="order_timestamp" dataDxfId="38"/>
    <tableColumn id="27" xr3:uid="{F10AF0F4-8742-4DD9-976A-024A15377D1A}" name="order_date_clean" dataDxfId="37">
      <calculatedColumnFormula>INT(B2)</calculatedColumnFormula>
    </tableColumn>
    <tableColumn id="28" xr3:uid="{83808DBD-DBAE-495A-B407-4731E160C7CB}" name="order_time_clean" dataDxfId="36">
      <calculatedColumnFormula>MOD(B2,1)</calculatedColumnFormula>
    </tableColumn>
    <tableColumn id="3" xr3:uid="{AEB212AE-4AB6-4E0C-B9F3-C76DE5CF9FB9}" name="store_id"/>
    <tableColumn id="4" xr3:uid="{0A396916-9A1F-4C94-A2C9-7C602E1A5C67}" name="region"/>
    <tableColumn id="24" xr3:uid="{CAA5EFF6-290F-49FE-9697-A7CE8BFD6A3E}" name="region_clean" dataDxfId="35">
      <calculatedColumnFormula xml:space="preserve"> PROPER(TRIM(CLEAN(SUBSTITUTE(F2,CHAR(160)," "))))</calculatedColumnFormula>
    </tableColumn>
    <tableColumn id="5" xr3:uid="{59B9EDD1-B258-4B27-9953-7BAAC8E95392}" name="channel"/>
    <tableColumn id="25" xr3:uid="{A46669CC-D48C-402E-9402-8CCDBE3B2328}" name="channel_clean" dataDxfId="34">
      <calculatedColumnFormula>PROPER(TRIM(CLEAN((SUBSTITUTE(H2,"-"," ")))))</calculatedColumnFormula>
    </tableColumn>
    <tableColumn id="6" xr3:uid="{25BA08F3-E993-46E3-BA2C-42E322203E89}" name="customer_id"/>
    <tableColumn id="7" xr3:uid="{4219F16F-8EDA-48F9-8D2C-FA4BE1416BD1}" name="customer_segment"/>
    <tableColumn id="26" xr3:uid="{4E6DD259-FC5A-43BA-92E9-C1F78CFB1DA8}" name="customer_segment_clean" dataDxfId="33">
      <calculatedColumnFormula xml:space="preserve"> PROPER(TRIM(CLEAN(SUBSTITUTE(K2,CHAR(160)," "))))</calculatedColumnFormula>
    </tableColumn>
    <tableColumn id="8" xr3:uid="{52CBD16C-089B-4FF1-8642-AC938425BBB2}" name="category"/>
    <tableColumn id="29" xr3:uid="{993A561D-DDF7-49B6-AD72-73F33379F913}" name="category_clean" dataDxfId="32">
      <calculatedColumnFormula xml:space="preserve"> PROPER(TRIM(CLEAN(SUBSTITUTE(M2,CHAR(160)," "))))</calculatedColumnFormula>
    </tableColumn>
    <tableColumn id="9" xr3:uid="{CA6E2595-68DA-45AF-8D8F-379B5D22A427}" name="subcategory"/>
    <tableColumn id="30" xr3:uid="{1CCB0BF3-4D4E-4C96-95E3-81C285D69EC3}" name="subcategory_clean" dataDxfId="31">
      <calculatedColumnFormula>IF(LEN(TRIM(Table1[[#This Row],[subcategory]]&amp;""))=0,"Unknown", PROPER(TRIM(Table1[[#This Row],[subcategory]])))</calculatedColumnFormula>
    </tableColumn>
    <tableColumn id="10" xr3:uid="{E3520A10-5F1B-4F64-8E0E-18784521BB62}" name="unit_price"/>
    <tableColumn id="39" xr3:uid="{47D16AE3-34D1-4D48-8447-20748C22A367}" name="unit_price_cleaned" dataDxfId="30">
      <calculatedColumnFormula>IF(LEN(TRIM(Q2&amp;""))=0, "", VALUE(SUBSTITUTE(Q2,"$","")))</calculatedColumnFormula>
    </tableColumn>
    <tableColumn id="11" xr3:uid="{4615404D-C8EC-4697-8C35-F4098D523FFA}" name="quantity"/>
    <tableColumn id="37" xr3:uid="{FDD4044D-37C2-403F-845D-9AD892492A8C}" name="quantity_clean" dataDxfId="29">
      <calculatedColumnFormula>IF(LEN(TRIM(S2&amp;""))=0, "", VALUE(S2))</calculatedColumnFormula>
    </tableColumn>
    <tableColumn id="13" xr3:uid="{A970CC42-3A0B-4339-A9C0-08A1176BD996}" name="gross_sales"/>
    <tableColumn id="34" xr3:uid="{5A5C01C0-EBBC-43BE-AFF9-7714463A089B}" name="gross_sales_clean" dataDxfId="28">
      <calculatedColumnFormula>IF(LEN(TRIM(U2&amp;""))=0, "", VALUE(SUBSTITUTE(U2,"$","")))</calculatedColumnFormula>
    </tableColumn>
    <tableColumn id="14" xr3:uid="{B8730308-A9A0-45E7-9858-D302AA65E462}" name="net_sales" dataDxfId="27"/>
    <tableColumn id="35" xr3:uid="{796C1F1E-431F-4092-ABE0-5EA7EC4819E7}" name="net_sales_clean" dataDxfId="26">
      <calculatedColumnFormula>IF(LEN(TRIM(W2&amp;""))=0, "", VALUE(SUBSTITUTE(W2,"$","")))</calculatedColumnFormula>
    </tableColumn>
    <tableColumn id="15" xr3:uid="{F7DA988B-5409-4B41-9C99-A614754AA347}" name="cost"/>
    <tableColumn id="33" xr3:uid="{6CABB4BB-2D0B-4B66-9BC3-0E4D60177BB2}" name="cost_clean" dataDxfId="25">
      <calculatedColumnFormula array="1">IF(
    LEN(TRIM(Y2&amp;""))=0,
        IF(AND(ISNUMBER(net_sales_clean), ISNUMBER(profit_clean)),
            net_sales_clean - profit_clean,
            ""
        ),
    VALUE(SUBSTITUTE(Y2,"$",""))
)</calculatedColumnFormula>
    </tableColumn>
    <tableColumn id="16" xr3:uid="{874C0D85-4F5A-40FC-8A55-6C50829A2016}" name="profit"/>
    <tableColumn id="20" xr3:uid="{5A871998-E5F3-466F-93C2-5EB66FEB84E3}" name="profit_clean" dataDxfId="24">
      <calculatedColumnFormula array="1">IF(
    LEN(TRIM(AA2&amp;""))=0,
        IF(AND(ISNUMBER(net_sales_clean), ISNUMBER(cost_clean)),
            net_sales_clean - cost_clean,
            ""
        ),
    VALUE(SUBSTITUTE(AA2,"$",""))
)</calculatedColumnFormula>
    </tableColumn>
    <tableColumn id="17" xr3:uid="{A475B5A6-E48A-4CCC-A5E2-7A474BCD402D}" name="shipping_days"/>
    <tableColumn id="40" xr3:uid="{CD82925D-9F5B-40BB-9C65-A0AC462749CD}" name="shipping_days_clean" dataDxfId="23">
      <calculatedColumnFormula>IF(LEN(TRIM(AC2&amp;""))=0, "", VALUE(AC2))</calculatedColumnFormula>
    </tableColumn>
    <tableColumn id="18" xr3:uid="{FFFC62F7-6A89-40B4-A959-D42133FF4A02}" name="satisfaction_score"/>
    <tableColumn id="38" xr3:uid="{2A14E5AC-CCC9-4985-88E7-C9A48DCB7A85}" name="satisfaction_score_clean" dataDxfId="22">
      <calculatedColumnFormula>IF(LEN(TRIM(AE2&amp;""))=0, "", VALUE(AE2))</calculatedColumnFormula>
    </tableColumn>
    <tableColumn id="19" xr3:uid="{F2670335-678E-4051-A66F-2C5D28E4D346}" name="return_flag"/>
    <tableColumn id="32" xr3:uid="{F1B33D46-5C8A-4A95-9474-766D32B96AC5}" name="return_flag_clean" dataDxfId="21">
      <calculatedColumnFormula>IF(
    OR(U2&lt;0, W2&lt;0, Y2&lt;0, AA2&lt;0),
        1,
        IF(LEN(TRIM(AG2&amp;""))=0, "", AG2)
)</calculatedColumnFormula>
    </tableColumn>
    <tableColumn id="36" xr3:uid="{A0FBE0FC-4ADD-415E-81C8-7796F9697D4D}" name="financial_completeness_flag" dataDxfId="20">
      <calculatedColumnFormula>IF(
    COUNT(Q2,V2,X2,Z2,AB2)=0,
        "Not Usable",
    IF(
        COUNT(Q2,V2,X2,Z2,AB2)&lt;5,
            "Incomplete",
            IF(
                MIN(Q2,V2,X2,Z2,AB2)=0,
                    "Incomplete",
                    "Complete"
            )
    )
)</calculatedColumnFormula>
    </tableColumn>
  </tableColumns>
  <tableStyleInfo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77E07F-5050-4C2E-ADA2-2AB4649D78EE}" name="Table4" displayName="Table4" ref="A1:D23" totalsRowShown="0">
  <autoFilter ref="A1:D23" xr:uid="{409FAAE4-FE77-4338-A1EE-3B4BED27274A}"/>
  <tableColumns count="4">
    <tableColumn id="1" xr3:uid="{BC96FB62-EB65-4229-9DA7-E800C9A159D4}" name="Column"/>
    <tableColumn id="2" xr3:uid="{FFB4C364-D981-454E-A70F-DCF3AF2BBECC}" name="Issue" dataDxfId="19"/>
    <tableColumn id="4" xr3:uid="{A66445FF-40B7-4B5D-98E9-0B9770BCAD0B}" name="Fix_type" dataDxfId="18"/>
    <tableColumn id="3" xr3:uid="{43C3C8DC-F88E-42F2-A7B6-EC4F87DED652}" name="Resoluti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ECE9C-907F-469C-85CE-F234B157DB65}">
  <dimension ref="A1:T106"/>
  <sheetViews>
    <sheetView tabSelected="1" zoomScaleNormal="100" workbookViewId="0">
      <pane ySplit="5" topLeftCell="A73" activePane="bottomLeft" state="frozen"/>
      <selection pane="bottomLeft" activeCell="B13" sqref="B13"/>
    </sheetView>
  </sheetViews>
  <sheetFormatPr defaultRowHeight="14.4"/>
  <cols>
    <col min="1" max="1" width="14.21875" bestFit="1" customWidth="1"/>
    <col min="2" max="2" width="28.5546875" style="3" customWidth="1"/>
    <col min="3" max="3" width="17.21875" style="2" bestFit="1" customWidth="1"/>
    <col min="4" max="4" width="9.5546875" customWidth="1"/>
    <col min="5" max="5" width="13.44140625" bestFit="1" customWidth="1"/>
    <col min="6" max="6" width="14.88671875" bestFit="1" customWidth="1"/>
    <col min="7" max="7" width="13.109375" bestFit="1" customWidth="1"/>
    <col min="8" max="8" width="24.109375" bestFit="1" customWidth="1"/>
    <col min="9" max="9" width="15.44140625" bestFit="1" customWidth="1"/>
    <col min="10" max="10" width="18.33203125" bestFit="1" customWidth="1"/>
    <col min="11" max="11" width="18.44140625" style="1" bestFit="1" customWidth="1"/>
    <col min="12" max="12" width="14.77734375" bestFit="1" customWidth="1"/>
    <col min="13" max="13" width="17.88671875" style="1" bestFit="1" customWidth="1"/>
    <col min="14" max="14" width="16.109375" style="1" bestFit="1" customWidth="1"/>
    <col min="15" max="15" width="11.88671875" style="1" bestFit="1" customWidth="1"/>
    <col min="16" max="16" width="12.6640625" style="1" bestFit="1" customWidth="1"/>
    <col min="17" max="17" width="19.77734375" bestFit="1" customWidth="1"/>
    <col min="18" max="18" width="23.33203125" bestFit="1" customWidth="1"/>
    <col min="19" max="19" width="17.109375" bestFit="1" customWidth="1"/>
    <col min="20" max="20" width="26.21875" bestFit="1" customWidth="1"/>
    <col min="21" max="21" width="13.88671875" customWidth="1"/>
  </cols>
  <sheetData>
    <row r="1" spans="1:20">
      <c r="A1" s="13" t="s">
        <v>273</v>
      </c>
      <c r="B1" s="15">
        <v>1</v>
      </c>
    </row>
    <row r="2" spans="1:20">
      <c r="A2" s="13" t="s">
        <v>272</v>
      </c>
      <c r="B2" s="14" t="s">
        <v>271</v>
      </c>
    </row>
    <row r="3" spans="1:20">
      <c r="A3" s="13" t="s">
        <v>270</v>
      </c>
      <c r="B3" s="12" t="s">
        <v>269</v>
      </c>
    </row>
    <row r="4" spans="1:20">
      <c r="A4" s="11"/>
      <c r="B4" s="10"/>
      <c r="C4" s="10"/>
    </row>
    <row r="5" spans="1:20">
      <c r="A5" t="s">
        <v>236</v>
      </c>
      <c r="B5" s="3" t="s">
        <v>268</v>
      </c>
      <c r="C5" s="2" t="s">
        <v>267</v>
      </c>
      <c r="D5" t="s">
        <v>232</v>
      </c>
      <c r="E5" t="s">
        <v>231</v>
      </c>
      <c r="F5" t="s">
        <v>229</v>
      </c>
      <c r="G5" t="s">
        <v>227</v>
      </c>
      <c r="H5" t="s">
        <v>226</v>
      </c>
      <c r="I5" t="s">
        <v>224</v>
      </c>
      <c r="J5" t="s">
        <v>222</v>
      </c>
      <c r="K5" s="1" t="s">
        <v>220</v>
      </c>
      <c r="L5" t="s">
        <v>218</v>
      </c>
      <c r="M5" s="1" t="s">
        <v>216</v>
      </c>
      <c r="N5" s="1" t="s">
        <v>214</v>
      </c>
      <c r="O5" s="1" t="s">
        <v>212</v>
      </c>
      <c r="P5" s="1" t="s">
        <v>210</v>
      </c>
      <c r="Q5" t="s">
        <v>208</v>
      </c>
      <c r="R5" t="s">
        <v>206</v>
      </c>
      <c r="S5" t="s">
        <v>204</v>
      </c>
      <c r="T5" t="s">
        <v>202</v>
      </c>
    </row>
    <row r="6" spans="1:20">
      <c r="A6">
        <v>12629</v>
      </c>
      <c r="B6" s="3">
        <v>45573</v>
      </c>
      <c r="C6" s="2">
        <v>0.484236111107748</v>
      </c>
      <c r="D6">
        <v>21</v>
      </c>
      <c r="E6" t="s">
        <v>33</v>
      </c>
      <c r="F6" t="s">
        <v>11</v>
      </c>
      <c r="G6">
        <v>3029</v>
      </c>
      <c r="H6" t="s">
        <v>14</v>
      </c>
      <c r="I6" t="s">
        <v>23</v>
      </c>
      <c r="J6" t="s">
        <v>25</v>
      </c>
      <c r="K6" s="1">
        <v>69.11</v>
      </c>
      <c r="L6">
        <v>2</v>
      </c>
      <c r="M6" s="1">
        <v>138.22</v>
      </c>
      <c r="N6" s="4">
        <v>95.510019999999997</v>
      </c>
      <c r="O6" s="4">
        <v>79.177304013895096</v>
      </c>
      <c r="P6" s="4">
        <v>16.332715986104802</v>
      </c>
      <c r="Q6">
        <v>8</v>
      </c>
      <c r="R6">
        <v>3</v>
      </c>
      <c r="S6">
        <v>0</v>
      </c>
      <c r="T6" t="s">
        <v>262</v>
      </c>
    </row>
    <row r="7" spans="1:20">
      <c r="A7">
        <v>37731</v>
      </c>
      <c r="B7" s="3">
        <v>46007</v>
      </c>
      <c r="C7" s="2">
        <v>0.72039351851708489</v>
      </c>
      <c r="D7">
        <v>65</v>
      </c>
      <c r="E7" t="s">
        <v>15</v>
      </c>
      <c r="F7" t="s">
        <v>30</v>
      </c>
      <c r="G7">
        <v>28389</v>
      </c>
      <c r="H7" t="s">
        <v>14</v>
      </c>
      <c r="I7" t="s">
        <v>9</v>
      </c>
      <c r="J7" t="s">
        <v>37</v>
      </c>
      <c r="K7" s="1">
        <v>54.46</v>
      </c>
      <c r="L7">
        <v>2</v>
      </c>
      <c r="M7" s="1">
        <v>108.92</v>
      </c>
      <c r="N7" s="1">
        <v>93.562280000000001</v>
      </c>
      <c r="O7" s="1" t="s">
        <v>263</v>
      </c>
      <c r="P7" s="1" t="s">
        <v>263</v>
      </c>
      <c r="Q7">
        <v>7</v>
      </c>
      <c r="R7">
        <v>2</v>
      </c>
      <c r="S7">
        <v>0</v>
      </c>
      <c r="T7" t="s">
        <v>264</v>
      </c>
    </row>
    <row r="8" spans="1:20">
      <c r="A8">
        <v>39992</v>
      </c>
      <c r="B8" s="3">
        <v>45409</v>
      </c>
      <c r="C8" s="2">
        <v>0.5454976851833635</v>
      </c>
      <c r="D8">
        <v>51</v>
      </c>
      <c r="E8" t="s">
        <v>15</v>
      </c>
      <c r="F8" t="s">
        <v>3</v>
      </c>
      <c r="G8">
        <v>8878</v>
      </c>
      <c r="H8" t="s">
        <v>2</v>
      </c>
      <c r="I8" t="s">
        <v>1</v>
      </c>
      <c r="J8" t="s">
        <v>31</v>
      </c>
      <c r="K8" s="1">
        <v>56.34</v>
      </c>
      <c r="L8">
        <v>1</v>
      </c>
      <c r="M8" s="1">
        <v>56.34</v>
      </c>
      <c r="N8" s="1">
        <v>54.649799999999999</v>
      </c>
      <c r="O8" s="4">
        <v>30.544062175832799</v>
      </c>
      <c r="P8" s="4">
        <v>24.1057378241671</v>
      </c>
      <c r="Q8">
        <v>9</v>
      </c>
      <c r="R8">
        <v>1</v>
      </c>
      <c r="S8">
        <v>0</v>
      </c>
      <c r="T8" t="s">
        <v>262</v>
      </c>
    </row>
    <row r="9" spans="1:20">
      <c r="A9">
        <v>8526</v>
      </c>
      <c r="B9" s="3">
        <v>45467</v>
      </c>
      <c r="C9" s="2">
        <v>0.81012731481314404</v>
      </c>
      <c r="D9">
        <v>3</v>
      </c>
      <c r="E9" t="s">
        <v>33</v>
      </c>
      <c r="F9" t="s">
        <v>7</v>
      </c>
      <c r="G9">
        <v>3169</v>
      </c>
      <c r="H9" t="s">
        <v>14</v>
      </c>
      <c r="I9" t="s">
        <v>9</v>
      </c>
      <c r="J9" t="s">
        <v>12</v>
      </c>
      <c r="K9" s="1">
        <v>52.94</v>
      </c>
      <c r="L9">
        <v>3</v>
      </c>
      <c r="M9" s="1">
        <v>158.82</v>
      </c>
      <c r="N9" s="1">
        <v>138.9675</v>
      </c>
      <c r="O9" s="1" t="s">
        <v>263</v>
      </c>
      <c r="P9" s="1" t="s">
        <v>263</v>
      </c>
      <c r="Q9">
        <v>8</v>
      </c>
      <c r="R9">
        <v>5</v>
      </c>
      <c r="S9">
        <v>0</v>
      </c>
      <c r="T9" t="s">
        <v>264</v>
      </c>
    </row>
    <row r="10" spans="1:20">
      <c r="A10">
        <v>8280</v>
      </c>
      <c r="B10" s="3">
        <v>45556</v>
      </c>
      <c r="C10" s="2">
        <v>0.10234953703911742</v>
      </c>
      <c r="D10">
        <v>50</v>
      </c>
      <c r="E10" t="s">
        <v>15</v>
      </c>
      <c r="F10" t="s">
        <v>30</v>
      </c>
      <c r="G10">
        <v>27958</v>
      </c>
      <c r="H10" t="s">
        <v>14</v>
      </c>
      <c r="I10" t="s">
        <v>16</v>
      </c>
      <c r="J10" t="s">
        <v>28</v>
      </c>
      <c r="K10" s="1" t="s">
        <v>263</v>
      </c>
      <c r="L10">
        <v>6</v>
      </c>
      <c r="M10" s="1" t="s">
        <v>263</v>
      </c>
      <c r="N10" s="1" t="s">
        <v>263</v>
      </c>
      <c r="O10" s="1" t="s">
        <v>263</v>
      </c>
      <c r="P10" s="1" t="s">
        <v>263</v>
      </c>
      <c r="Q10">
        <v>3</v>
      </c>
      <c r="R10">
        <v>5</v>
      </c>
      <c r="S10" t="s">
        <v>263</v>
      </c>
      <c r="T10" t="s">
        <v>266</v>
      </c>
    </row>
    <row r="11" spans="1:20">
      <c r="A11">
        <v>51013</v>
      </c>
      <c r="B11" s="3">
        <v>45610</v>
      </c>
      <c r="C11" s="2">
        <v>0.84315972222248092</v>
      </c>
      <c r="D11">
        <v>75</v>
      </c>
      <c r="E11" t="s">
        <v>33</v>
      </c>
      <c r="F11" t="s">
        <v>7</v>
      </c>
      <c r="G11">
        <v>5394</v>
      </c>
      <c r="H11" t="s">
        <v>14</v>
      </c>
      <c r="I11" t="s">
        <v>23</v>
      </c>
      <c r="J11" t="s">
        <v>25</v>
      </c>
      <c r="K11" s="1">
        <v>128.71</v>
      </c>
      <c r="L11">
        <v>2</v>
      </c>
      <c r="M11" s="1">
        <v>257.42</v>
      </c>
      <c r="N11" s="4">
        <v>236.05413999999999</v>
      </c>
      <c r="O11" s="4">
        <v>196.85131485753101</v>
      </c>
      <c r="P11" s="4">
        <v>39.202825142468903</v>
      </c>
      <c r="Q11">
        <v>6</v>
      </c>
      <c r="R11">
        <v>5</v>
      </c>
      <c r="S11">
        <v>0</v>
      </c>
      <c r="T11" t="s">
        <v>262</v>
      </c>
    </row>
    <row r="12" spans="1:20">
      <c r="A12">
        <v>14872</v>
      </c>
      <c r="B12" s="3">
        <v>45408</v>
      </c>
      <c r="C12" s="2">
        <v>2.923611111327773E-2</v>
      </c>
      <c r="D12">
        <v>4</v>
      </c>
      <c r="E12" t="s">
        <v>21</v>
      </c>
      <c r="F12" t="s">
        <v>11</v>
      </c>
      <c r="G12">
        <v>24736</v>
      </c>
      <c r="H12" t="s">
        <v>6</v>
      </c>
      <c r="I12" t="s">
        <v>23</v>
      </c>
      <c r="J12" t="s">
        <v>34</v>
      </c>
      <c r="K12" s="1">
        <v>349.2</v>
      </c>
      <c r="L12">
        <v>3</v>
      </c>
      <c r="M12" s="1">
        <v>1047.5999999999999</v>
      </c>
      <c r="N12" s="4">
        <v>797.22359999999901</v>
      </c>
      <c r="O12" s="4">
        <v>617.00900423918097</v>
      </c>
      <c r="P12" s="4">
        <v>180.21459576081801</v>
      </c>
      <c r="Q12">
        <v>8</v>
      </c>
      <c r="R12">
        <v>3</v>
      </c>
      <c r="S12">
        <v>0</v>
      </c>
      <c r="T12" t="s">
        <v>262</v>
      </c>
    </row>
    <row r="13" spans="1:20">
      <c r="A13">
        <v>15128</v>
      </c>
      <c r="B13" s="3">
        <v>45797</v>
      </c>
      <c r="C13" s="2">
        <v>0.66140046296641231</v>
      </c>
      <c r="D13">
        <v>18</v>
      </c>
      <c r="E13" t="s">
        <v>33</v>
      </c>
      <c r="F13" t="s">
        <v>7</v>
      </c>
      <c r="G13">
        <v>4117</v>
      </c>
      <c r="H13" t="s">
        <v>6</v>
      </c>
      <c r="I13" t="s">
        <v>1</v>
      </c>
      <c r="J13" t="s">
        <v>38</v>
      </c>
      <c r="K13" s="1">
        <v>39.33</v>
      </c>
      <c r="L13">
        <v>3</v>
      </c>
      <c r="M13" s="1">
        <v>117.99</v>
      </c>
      <c r="N13" s="4">
        <v>88.728479999999905</v>
      </c>
      <c r="O13" s="4">
        <v>71.008408594918507</v>
      </c>
      <c r="P13" s="1">
        <v>17.720071405081399</v>
      </c>
      <c r="Q13">
        <v>0</v>
      </c>
      <c r="R13">
        <v>4</v>
      </c>
      <c r="S13">
        <v>0</v>
      </c>
      <c r="T13" t="s">
        <v>262</v>
      </c>
    </row>
    <row r="14" spans="1:20">
      <c r="A14">
        <v>9367</v>
      </c>
      <c r="B14" s="3">
        <v>45515</v>
      </c>
      <c r="C14" s="2">
        <v>0.42348379629402189</v>
      </c>
      <c r="D14">
        <v>51</v>
      </c>
      <c r="E14" t="s">
        <v>15</v>
      </c>
      <c r="F14" t="s">
        <v>7</v>
      </c>
      <c r="G14">
        <v>16053</v>
      </c>
      <c r="H14" t="s">
        <v>14</v>
      </c>
      <c r="I14" t="s">
        <v>1</v>
      </c>
      <c r="J14" t="s">
        <v>0</v>
      </c>
      <c r="K14" s="1">
        <v>42.39</v>
      </c>
      <c r="L14">
        <v>4</v>
      </c>
      <c r="M14" s="1">
        <v>169.56</v>
      </c>
      <c r="N14" s="1">
        <v>130.56120000000001</v>
      </c>
      <c r="O14" s="1" t="s">
        <v>263</v>
      </c>
      <c r="P14" s="1" t="s">
        <v>263</v>
      </c>
      <c r="Q14">
        <v>2</v>
      </c>
      <c r="R14">
        <v>4</v>
      </c>
      <c r="S14">
        <v>0</v>
      </c>
      <c r="T14" t="s">
        <v>264</v>
      </c>
    </row>
    <row r="15" spans="1:20">
      <c r="A15">
        <v>33323</v>
      </c>
      <c r="B15" s="3">
        <v>45915</v>
      </c>
      <c r="C15" s="2">
        <v>5.0532407403807156E-2</v>
      </c>
      <c r="D15">
        <v>27</v>
      </c>
      <c r="E15" t="s">
        <v>15</v>
      </c>
      <c r="F15" t="s">
        <v>11</v>
      </c>
      <c r="G15">
        <v>16076</v>
      </c>
      <c r="H15" t="s">
        <v>14</v>
      </c>
      <c r="I15" t="s">
        <v>23</v>
      </c>
      <c r="J15" t="s">
        <v>34</v>
      </c>
      <c r="K15" s="1">
        <v>65.88</v>
      </c>
      <c r="L15">
        <v>4</v>
      </c>
      <c r="M15" s="1">
        <v>263.52</v>
      </c>
      <c r="N15" s="1">
        <v>206.86320000000001</v>
      </c>
      <c r="O15" s="4">
        <v>143.369384778979</v>
      </c>
      <c r="P15" s="4">
        <v>63.493815221020903</v>
      </c>
      <c r="Q15">
        <v>7</v>
      </c>
      <c r="R15">
        <v>1</v>
      </c>
      <c r="S15">
        <v>0</v>
      </c>
      <c r="T15" t="s">
        <v>262</v>
      </c>
    </row>
    <row r="16" spans="1:20">
      <c r="A16">
        <v>53391</v>
      </c>
      <c r="B16" s="3">
        <v>45138</v>
      </c>
      <c r="C16" s="2">
        <v>0.76329861111298669</v>
      </c>
      <c r="D16">
        <v>68</v>
      </c>
      <c r="E16" t="s">
        <v>21</v>
      </c>
      <c r="F16" t="s">
        <v>30</v>
      </c>
      <c r="G16">
        <v>10593</v>
      </c>
      <c r="H16" t="s">
        <v>6</v>
      </c>
      <c r="I16" t="s">
        <v>23</v>
      </c>
      <c r="J16" t="s">
        <v>25</v>
      </c>
      <c r="K16" s="1">
        <v>38.909999999999997</v>
      </c>
      <c r="L16">
        <v>2</v>
      </c>
      <c r="M16" s="1">
        <v>77.819999999999993</v>
      </c>
      <c r="N16" s="4">
        <v>51.750299999999903</v>
      </c>
      <c r="O16" s="4">
        <v>30.691513588590102</v>
      </c>
      <c r="P16" s="4">
        <v>21.058786411409798</v>
      </c>
      <c r="Q16">
        <v>5</v>
      </c>
      <c r="R16">
        <v>3</v>
      </c>
      <c r="S16" t="s">
        <v>263</v>
      </c>
      <c r="T16" t="s">
        <v>262</v>
      </c>
    </row>
    <row r="17" spans="1:20">
      <c r="A17">
        <v>21820</v>
      </c>
      <c r="B17" s="3">
        <v>45435</v>
      </c>
      <c r="C17" s="2">
        <v>0.56937499999912689</v>
      </c>
      <c r="D17">
        <v>24</v>
      </c>
      <c r="E17" t="s">
        <v>15</v>
      </c>
      <c r="F17" t="s">
        <v>7</v>
      </c>
      <c r="G17">
        <v>24446</v>
      </c>
      <c r="H17" t="s">
        <v>14</v>
      </c>
      <c r="I17" t="s">
        <v>9</v>
      </c>
      <c r="J17" t="s">
        <v>35</v>
      </c>
      <c r="K17" s="1">
        <v>32.71</v>
      </c>
      <c r="L17">
        <v>1</v>
      </c>
      <c r="M17" s="1">
        <v>32.71</v>
      </c>
      <c r="N17" s="4">
        <v>26.004449999999999</v>
      </c>
      <c r="O17" s="1">
        <v>15.5101019219055</v>
      </c>
      <c r="P17" s="4">
        <v>10.4943480780945</v>
      </c>
      <c r="Q17">
        <v>5</v>
      </c>
      <c r="R17">
        <v>2</v>
      </c>
      <c r="S17">
        <v>0</v>
      </c>
      <c r="T17" t="s">
        <v>262</v>
      </c>
    </row>
    <row r="18" spans="1:20">
      <c r="A18">
        <v>5027</v>
      </c>
      <c r="B18" s="3">
        <v>45996</v>
      </c>
      <c r="C18" s="2">
        <v>0.83871527777955635</v>
      </c>
      <c r="D18">
        <v>59</v>
      </c>
      <c r="E18" t="s">
        <v>13</v>
      </c>
      <c r="F18" t="s">
        <v>11</v>
      </c>
      <c r="G18">
        <v>24829</v>
      </c>
      <c r="H18" t="s">
        <v>6</v>
      </c>
      <c r="I18" t="s">
        <v>1</v>
      </c>
      <c r="J18" t="s">
        <v>38</v>
      </c>
      <c r="K18" s="1">
        <v>54.23</v>
      </c>
      <c r="L18">
        <v>6</v>
      </c>
      <c r="M18" s="1">
        <v>325.38</v>
      </c>
      <c r="N18" s="1">
        <v>193.6011</v>
      </c>
      <c r="O18" s="4">
        <v>144.78485072488499</v>
      </c>
      <c r="P18" s="4">
        <v>48.816249275113996</v>
      </c>
      <c r="Q18">
        <v>0</v>
      </c>
      <c r="R18">
        <v>2</v>
      </c>
      <c r="S18">
        <v>0</v>
      </c>
      <c r="T18" t="s">
        <v>262</v>
      </c>
    </row>
    <row r="19" spans="1:20">
      <c r="A19">
        <v>23429</v>
      </c>
      <c r="B19" s="3">
        <v>45999</v>
      </c>
      <c r="C19" s="2">
        <v>6.7812499997671694E-2</v>
      </c>
      <c r="D19">
        <v>60</v>
      </c>
      <c r="E19" t="s">
        <v>33</v>
      </c>
      <c r="F19" t="s">
        <v>7</v>
      </c>
      <c r="G19">
        <v>15773</v>
      </c>
      <c r="H19" t="s">
        <v>14</v>
      </c>
      <c r="I19" t="s">
        <v>9</v>
      </c>
      <c r="J19" t="s">
        <v>265</v>
      </c>
      <c r="K19" s="1">
        <v>100.52</v>
      </c>
      <c r="L19">
        <v>0</v>
      </c>
      <c r="M19" s="1">
        <v>0</v>
      </c>
      <c r="N19" s="1">
        <v>0</v>
      </c>
      <c r="O19" s="1">
        <v>0</v>
      </c>
      <c r="P19" s="1">
        <v>0</v>
      </c>
      <c r="Q19">
        <v>8</v>
      </c>
      <c r="R19">
        <v>1</v>
      </c>
      <c r="S19">
        <v>0</v>
      </c>
      <c r="T19" t="s">
        <v>264</v>
      </c>
    </row>
    <row r="20" spans="1:20">
      <c r="A20">
        <v>45298</v>
      </c>
      <c r="B20" s="3">
        <v>45095</v>
      </c>
      <c r="C20" s="2">
        <v>0.21866898148437031</v>
      </c>
      <c r="D20">
        <v>2</v>
      </c>
      <c r="E20" t="s">
        <v>33</v>
      </c>
      <c r="F20" t="s">
        <v>3</v>
      </c>
      <c r="G20">
        <v>25279</v>
      </c>
      <c r="H20" t="s">
        <v>14</v>
      </c>
      <c r="I20" t="s">
        <v>16</v>
      </c>
      <c r="J20" t="s">
        <v>28</v>
      </c>
      <c r="K20" s="1">
        <v>54.22</v>
      </c>
      <c r="L20">
        <v>5</v>
      </c>
      <c r="M20" s="1">
        <v>271.10000000000002</v>
      </c>
      <c r="N20" s="4">
        <v>235.31479999999999</v>
      </c>
      <c r="O20" s="4">
        <v>177.48664754904701</v>
      </c>
      <c r="P20" s="4">
        <v>57.828152450952203</v>
      </c>
      <c r="Q20">
        <v>1</v>
      </c>
      <c r="R20">
        <v>1</v>
      </c>
      <c r="S20" t="s">
        <v>263</v>
      </c>
      <c r="T20" t="s">
        <v>262</v>
      </c>
    </row>
    <row r="21" spans="1:20">
      <c r="A21">
        <v>26355</v>
      </c>
      <c r="B21" s="3">
        <v>45470</v>
      </c>
      <c r="C21" s="2">
        <v>0.92497685184935108</v>
      </c>
      <c r="D21">
        <v>64</v>
      </c>
      <c r="E21" t="s">
        <v>21</v>
      </c>
      <c r="F21" t="s">
        <v>30</v>
      </c>
      <c r="G21">
        <v>18653</v>
      </c>
      <c r="H21" t="s">
        <v>6</v>
      </c>
      <c r="I21" t="s">
        <v>1</v>
      </c>
      <c r="J21" t="s">
        <v>31</v>
      </c>
      <c r="K21" s="1">
        <v>106.04</v>
      </c>
      <c r="L21">
        <v>4</v>
      </c>
      <c r="M21" s="1">
        <v>424.16</v>
      </c>
      <c r="N21" s="1">
        <v>355.44607999999999</v>
      </c>
      <c r="O21" s="4">
        <v>272.62078761643102</v>
      </c>
      <c r="P21" s="4">
        <v>82.825292383568296</v>
      </c>
      <c r="Q21">
        <v>3</v>
      </c>
      <c r="R21">
        <v>3</v>
      </c>
      <c r="S21">
        <v>0</v>
      </c>
      <c r="T21" t="s">
        <v>262</v>
      </c>
    </row>
    <row r="22" spans="1:20">
      <c r="A22">
        <v>30196</v>
      </c>
      <c r="B22" s="3">
        <v>45403</v>
      </c>
      <c r="C22" s="2">
        <v>0.67347222222451819</v>
      </c>
      <c r="D22">
        <v>6</v>
      </c>
      <c r="E22" t="s">
        <v>33</v>
      </c>
      <c r="F22" t="s">
        <v>7</v>
      </c>
      <c r="G22">
        <v>27272</v>
      </c>
      <c r="H22" t="s">
        <v>6</v>
      </c>
      <c r="I22" t="s">
        <v>1</v>
      </c>
      <c r="J22" t="s">
        <v>31</v>
      </c>
      <c r="K22" s="1">
        <v>48.65</v>
      </c>
      <c r="L22">
        <v>2</v>
      </c>
      <c r="M22" s="1">
        <v>97.3</v>
      </c>
      <c r="N22" s="1">
        <v>88.834900000000005</v>
      </c>
      <c r="O22" s="4">
        <v>66.690223253986105</v>
      </c>
      <c r="P22" s="4">
        <v>22.144676746013801</v>
      </c>
      <c r="Q22">
        <v>7</v>
      </c>
      <c r="R22" t="s">
        <v>263</v>
      </c>
      <c r="S22">
        <v>0</v>
      </c>
      <c r="T22" t="s">
        <v>262</v>
      </c>
    </row>
    <row r="23" spans="1:20">
      <c r="A23">
        <v>47039</v>
      </c>
      <c r="B23" s="3">
        <v>45723</v>
      </c>
      <c r="C23" s="2">
        <v>0.99714120370481396</v>
      </c>
      <c r="D23">
        <v>84</v>
      </c>
      <c r="E23" t="s">
        <v>13</v>
      </c>
      <c r="F23" t="s">
        <v>11</v>
      </c>
      <c r="G23">
        <v>19083</v>
      </c>
      <c r="H23" t="s">
        <v>14</v>
      </c>
      <c r="I23" t="s">
        <v>16</v>
      </c>
      <c r="J23" t="s">
        <v>29</v>
      </c>
      <c r="K23" s="1">
        <v>20.440000000000001</v>
      </c>
      <c r="L23">
        <v>1</v>
      </c>
      <c r="M23" s="1">
        <v>20.440000000000001</v>
      </c>
      <c r="N23" s="4">
        <v>18.334679999999999</v>
      </c>
      <c r="O23" s="4">
        <v>11.632827429824401</v>
      </c>
      <c r="P23" s="4">
        <v>6.7018525701755802</v>
      </c>
      <c r="Q23">
        <v>9</v>
      </c>
      <c r="R23">
        <v>3</v>
      </c>
      <c r="S23">
        <v>0</v>
      </c>
      <c r="T23" t="s">
        <v>262</v>
      </c>
    </row>
    <row r="24" spans="1:20">
      <c r="A24">
        <v>20732</v>
      </c>
      <c r="B24" s="3">
        <v>45462</v>
      </c>
      <c r="C24" s="2">
        <v>0.73876157407357823</v>
      </c>
      <c r="D24">
        <v>68</v>
      </c>
      <c r="E24" t="s">
        <v>33</v>
      </c>
      <c r="F24" t="s">
        <v>30</v>
      </c>
      <c r="G24">
        <v>17938</v>
      </c>
      <c r="H24" t="s">
        <v>14</v>
      </c>
      <c r="I24" t="s">
        <v>19</v>
      </c>
      <c r="J24" t="s">
        <v>26</v>
      </c>
      <c r="K24" s="1">
        <v>85.97</v>
      </c>
      <c r="L24">
        <v>3</v>
      </c>
      <c r="M24" s="4">
        <v>257.909999999999</v>
      </c>
      <c r="N24" s="4">
        <v>189.305939999999</v>
      </c>
      <c r="O24" s="4">
        <v>160.12405618387399</v>
      </c>
      <c r="P24" s="4">
        <v>29.181883816125101</v>
      </c>
      <c r="Q24">
        <v>1</v>
      </c>
      <c r="R24">
        <v>4</v>
      </c>
      <c r="S24">
        <v>0</v>
      </c>
      <c r="T24" t="s">
        <v>262</v>
      </c>
    </row>
    <row r="25" spans="1:20">
      <c r="A25">
        <v>34048</v>
      </c>
      <c r="B25" s="3">
        <v>45886</v>
      </c>
      <c r="C25" s="2">
        <v>9.9189814791316167E-3</v>
      </c>
      <c r="D25">
        <v>75</v>
      </c>
      <c r="E25" t="s">
        <v>15</v>
      </c>
      <c r="F25" t="s">
        <v>7</v>
      </c>
      <c r="G25">
        <v>16126</v>
      </c>
      <c r="H25" t="s">
        <v>2</v>
      </c>
      <c r="I25" t="s">
        <v>16</v>
      </c>
      <c r="J25" t="s">
        <v>28</v>
      </c>
      <c r="K25" s="1" t="s">
        <v>263</v>
      </c>
      <c r="L25">
        <v>0</v>
      </c>
      <c r="M25" s="1" t="s">
        <v>263</v>
      </c>
      <c r="N25" s="1" t="s">
        <v>263</v>
      </c>
      <c r="O25" s="1" t="s">
        <v>263</v>
      </c>
      <c r="P25" s="1" t="s">
        <v>263</v>
      </c>
      <c r="Q25">
        <v>9</v>
      </c>
      <c r="R25">
        <v>2</v>
      </c>
      <c r="S25">
        <v>0</v>
      </c>
      <c r="T25" t="s">
        <v>266</v>
      </c>
    </row>
    <row r="26" spans="1:20">
      <c r="A26">
        <v>26065</v>
      </c>
      <c r="B26" s="3">
        <v>45025</v>
      </c>
      <c r="C26" s="2">
        <v>0.32968750000145519</v>
      </c>
      <c r="D26">
        <v>35</v>
      </c>
      <c r="E26" t="s">
        <v>33</v>
      </c>
      <c r="F26" t="s">
        <v>7</v>
      </c>
      <c r="G26">
        <v>24537</v>
      </c>
      <c r="H26" t="s">
        <v>6</v>
      </c>
      <c r="I26" t="s">
        <v>16</v>
      </c>
      <c r="J26" t="s">
        <v>36</v>
      </c>
      <c r="K26" s="1">
        <v>106.76</v>
      </c>
      <c r="L26">
        <v>4</v>
      </c>
      <c r="M26" s="1">
        <v>427.04</v>
      </c>
      <c r="N26" s="1">
        <v>367.68144000000001</v>
      </c>
      <c r="O26" s="4">
        <v>228.16149957487801</v>
      </c>
      <c r="P26" s="4">
        <v>139.51994042512101</v>
      </c>
      <c r="Q26">
        <v>2</v>
      </c>
      <c r="R26" t="s">
        <v>263</v>
      </c>
      <c r="S26">
        <v>0</v>
      </c>
      <c r="T26" t="s">
        <v>262</v>
      </c>
    </row>
    <row r="27" spans="1:20">
      <c r="A27">
        <v>42470</v>
      </c>
      <c r="B27" s="3">
        <v>44940</v>
      </c>
      <c r="C27" s="2">
        <v>0.12466435185342561</v>
      </c>
      <c r="D27">
        <v>19</v>
      </c>
      <c r="E27" t="s">
        <v>21</v>
      </c>
      <c r="F27" t="s">
        <v>30</v>
      </c>
      <c r="G27">
        <v>26949</v>
      </c>
      <c r="H27" t="s">
        <v>14</v>
      </c>
      <c r="I27" t="s">
        <v>9</v>
      </c>
      <c r="J27" t="s">
        <v>35</v>
      </c>
      <c r="K27" s="1">
        <v>127.61</v>
      </c>
      <c r="L27">
        <v>4</v>
      </c>
      <c r="M27" s="1">
        <v>510.44</v>
      </c>
      <c r="N27" s="1">
        <v>261.34528</v>
      </c>
      <c r="O27" s="4">
        <v>220.880921709756</v>
      </c>
      <c r="P27" s="4">
        <v>40.464358290243602</v>
      </c>
      <c r="Q27">
        <v>7</v>
      </c>
      <c r="R27">
        <v>4</v>
      </c>
      <c r="S27">
        <v>0</v>
      </c>
      <c r="T27" t="s">
        <v>262</v>
      </c>
    </row>
    <row r="28" spans="1:20">
      <c r="A28">
        <v>29747</v>
      </c>
      <c r="B28" s="3">
        <v>45703</v>
      </c>
      <c r="C28" s="2">
        <v>0.90100694444117835</v>
      </c>
      <c r="D28">
        <v>65</v>
      </c>
      <c r="E28" t="s">
        <v>33</v>
      </c>
      <c r="F28" t="s">
        <v>11</v>
      </c>
      <c r="G28">
        <v>23239</v>
      </c>
      <c r="H28" t="s">
        <v>14</v>
      </c>
      <c r="I28" t="s">
        <v>19</v>
      </c>
      <c r="J28" t="s">
        <v>18</v>
      </c>
      <c r="K28" s="1">
        <v>24.6</v>
      </c>
      <c r="L28">
        <v>1</v>
      </c>
      <c r="M28" s="1">
        <v>24.6</v>
      </c>
      <c r="N28" s="4">
        <v>23.099399999999999</v>
      </c>
      <c r="O28" s="1" t="s">
        <v>263</v>
      </c>
      <c r="P28" s="1" t="s">
        <v>263</v>
      </c>
      <c r="Q28">
        <v>3</v>
      </c>
      <c r="R28">
        <v>2</v>
      </c>
      <c r="S28">
        <v>0</v>
      </c>
      <c r="T28" t="s">
        <v>264</v>
      </c>
    </row>
    <row r="29" spans="1:20">
      <c r="A29">
        <v>14523</v>
      </c>
      <c r="B29" s="3">
        <v>45944</v>
      </c>
      <c r="C29" s="2">
        <v>0.24817129629809642</v>
      </c>
      <c r="D29">
        <v>63</v>
      </c>
      <c r="E29" t="s">
        <v>13</v>
      </c>
      <c r="F29" t="s">
        <v>30</v>
      </c>
      <c r="G29">
        <v>22236</v>
      </c>
      <c r="H29" t="s">
        <v>6</v>
      </c>
      <c r="I29" t="s">
        <v>9</v>
      </c>
      <c r="J29" t="s">
        <v>32</v>
      </c>
      <c r="K29" s="1">
        <v>43.87</v>
      </c>
      <c r="L29">
        <v>2</v>
      </c>
      <c r="M29" s="1">
        <v>87.74</v>
      </c>
      <c r="N29" s="4">
        <v>67.296579999999906</v>
      </c>
      <c r="O29" s="4">
        <v>43.886349916696297</v>
      </c>
      <c r="P29" s="4">
        <v>23.410230083303599</v>
      </c>
      <c r="Q29">
        <v>4</v>
      </c>
      <c r="R29">
        <v>1</v>
      </c>
      <c r="S29">
        <v>0</v>
      </c>
      <c r="T29" t="s">
        <v>262</v>
      </c>
    </row>
    <row r="30" spans="1:20">
      <c r="A30">
        <v>31573</v>
      </c>
      <c r="B30" s="3">
        <v>45132</v>
      </c>
      <c r="C30" s="2">
        <v>2.6909722218988463E-2</v>
      </c>
      <c r="D30">
        <v>18</v>
      </c>
      <c r="E30" t="s">
        <v>15</v>
      </c>
      <c r="F30" t="s">
        <v>7</v>
      </c>
      <c r="G30">
        <v>26093</v>
      </c>
      <c r="H30" t="s">
        <v>6</v>
      </c>
      <c r="I30" t="s">
        <v>23</v>
      </c>
      <c r="J30" t="s">
        <v>22</v>
      </c>
      <c r="K30" s="1">
        <v>36.31</v>
      </c>
      <c r="L30">
        <v>3</v>
      </c>
      <c r="M30" s="1">
        <v>108.93</v>
      </c>
      <c r="N30" s="1">
        <v>106.7514</v>
      </c>
      <c r="O30" s="1">
        <v>61.381092570252001</v>
      </c>
      <c r="P30" s="1">
        <v>45.370307429748003</v>
      </c>
      <c r="Q30">
        <v>5</v>
      </c>
      <c r="R30">
        <v>4</v>
      </c>
      <c r="S30">
        <v>0</v>
      </c>
      <c r="T30" t="s">
        <v>262</v>
      </c>
    </row>
    <row r="31" spans="1:20">
      <c r="A31">
        <v>54950</v>
      </c>
      <c r="B31" s="3">
        <v>45966</v>
      </c>
      <c r="C31" s="2">
        <v>0.74922453703766223</v>
      </c>
      <c r="D31">
        <v>77</v>
      </c>
      <c r="E31" t="s">
        <v>21</v>
      </c>
      <c r="F31" t="s">
        <v>11</v>
      </c>
      <c r="G31">
        <v>6499</v>
      </c>
      <c r="H31" t="s">
        <v>14</v>
      </c>
      <c r="I31" t="s">
        <v>16</v>
      </c>
      <c r="J31" t="s">
        <v>24</v>
      </c>
      <c r="K31" s="1">
        <v>60.75</v>
      </c>
      <c r="L31" t="s">
        <v>263</v>
      </c>
      <c r="M31" s="1" t="s">
        <v>263</v>
      </c>
      <c r="N31" s="1" t="s">
        <v>263</v>
      </c>
      <c r="O31" s="1" t="s">
        <v>263</v>
      </c>
      <c r="P31" s="1" t="s">
        <v>263</v>
      </c>
      <c r="Q31">
        <v>3</v>
      </c>
      <c r="R31">
        <v>1</v>
      </c>
      <c r="S31">
        <v>0</v>
      </c>
      <c r="T31" t="s">
        <v>264</v>
      </c>
    </row>
    <row r="32" spans="1:20">
      <c r="A32">
        <v>19369</v>
      </c>
      <c r="B32" s="3">
        <v>45299</v>
      </c>
      <c r="C32" s="2">
        <v>6.2858796292857733E-2</v>
      </c>
      <c r="D32">
        <v>42</v>
      </c>
      <c r="E32" t="s">
        <v>15</v>
      </c>
      <c r="F32" t="s">
        <v>11</v>
      </c>
      <c r="G32">
        <v>26382</v>
      </c>
      <c r="H32" t="s">
        <v>14</v>
      </c>
      <c r="I32" t="s">
        <v>23</v>
      </c>
      <c r="J32" t="s">
        <v>25</v>
      </c>
      <c r="K32" s="1">
        <v>56.01</v>
      </c>
      <c r="L32">
        <v>4</v>
      </c>
      <c r="M32" s="1">
        <v>224.04</v>
      </c>
      <c r="N32" s="4">
        <v>206.34083999999999</v>
      </c>
      <c r="O32" s="4">
        <v>158.018268553208</v>
      </c>
      <c r="P32" s="4">
        <v>48.322571446791102</v>
      </c>
      <c r="Q32">
        <v>3</v>
      </c>
      <c r="R32">
        <v>4</v>
      </c>
      <c r="S32">
        <v>0</v>
      </c>
      <c r="T32" t="s">
        <v>262</v>
      </c>
    </row>
    <row r="33" spans="1:20">
      <c r="A33">
        <v>3804</v>
      </c>
      <c r="B33" s="3">
        <v>45644</v>
      </c>
      <c r="C33" s="2">
        <v>0.89846064814628335</v>
      </c>
      <c r="D33">
        <v>75</v>
      </c>
      <c r="E33" t="s">
        <v>33</v>
      </c>
      <c r="F33" t="s">
        <v>11</v>
      </c>
      <c r="G33">
        <v>13901</v>
      </c>
      <c r="H33" t="s">
        <v>14</v>
      </c>
      <c r="I33" t="s">
        <v>9</v>
      </c>
      <c r="J33" t="s">
        <v>35</v>
      </c>
      <c r="K33" s="1">
        <v>120.29</v>
      </c>
      <c r="L33">
        <v>1</v>
      </c>
      <c r="M33" s="1">
        <v>120.29</v>
      </c>
      <c r="N33" s="4">
        <v>76.865309999999994</v>
      </c>
      <c r="O33" s="4">
        <v>45.142828699893897</v>
      </c>
      <c r="P33" s="4">
        <v>31.722481300106001</v>
      </c>
      <c r="Q33">
        <v>7</v>
      </c>
      <c r="R33">
        <v>3</v>
      </c>
      <c r="S33">
        <v>0</v>
      </c>
      <c r="T33" t="s">
        <v>262</v>
      </c>
    </row>
    <row r="34" spans="1:20">
      <c r="A34">
        <v>53326</v>
      </c>
      <c r="B34" s="3">
        <v>45250</v>
      </c>
      <c r="C34" s="2">
        <v>0.79530092592904111</v>
      </c>
      <c r="D34">
        <v>16</v>
      </c>
      <c r="E34" t="s">
        <v>13</v>
      </c>
      <c r="F34" t="s">
        <v>11</v>
      </c>
      <c r="G34">
        <v>21497</v>
      </c>
      <c r="H34" t="s">
        <v>14</v>
      </c>
      <c r="I34" t="s">
        <v>19</v>
      </c>
      <c r="J34" t="s">
        <v>18</v>
      </c>
      <c r="K34" s="1">
        <v>78.41</v>
      </c>
      <c r="L34">
        <v>4</v>
      </c>
      <c r="M34" s="1">
        <v>313.64</v>
      </c>
      <c r="N34" s="4">
        <v>223.93895999999901</v>
      </c>
      <c r="O34" s="4">
        <v>127.42641192279901</v>
      </c>
      <c r="P34" s="4">
        <v>96.512548077200805</v>
      </c>
      <c r="Q34">
        <v>7</v>
      </c>
      <c r="R34">
        <v>3</v>
      </c>
      <c r="S34">
        <v>0</v>
      </c>
      <c r="T34" t="s">
        <v>262</v>
      </c>
    </row>
    <row r="35" spans="1:20">
      <c r="A35">
        <v>14301</v>
      </c>
      <c r="B35" s="3">
        <v>45915</v>
      </c>
      <c r="C35" s="2">
        <v>0.97182870370306773</v>
      </c>
      <c r="D35">
        <v>2</v>
      </c>
      <c r="E35" t="s">
        <v>13</v>
      </c>
      <c r="F35" t="s">
        <v>11</v>
      </c>
      <c r="G35">
        <v>25676</v>
      </c>
      <c r="H35" t="s">
        <v>2</v>
      </c>
      <c r="I35" t="s">
        <v>19</v>
      </c>
      <c r="J35" t="s">
        <v>40</v>
      </c>
      <c r="K35" s="1">
        <v>19.079999999999998</v>
      </c>
      <c r="L35">
        <v>1</v>
      </c>
      <c r="M35" s="1">
        <v>19.079999999999998</v>
      </c>
      <c r="N35" s="1">
        <v>11.676959999999999</v>
      </c>
      <c r="O35" s="1">
        <v>9.6432456364725603</v>
      </c>
      <c r="P35" s="4">
        <v>2.0337143635274302</v>
      </c>
      <c r="Q35">
        <v>9</v>
      </c>
      <c r="R35">
        <v>5</v>
      </c>
      <c r="S35">
        <v>0</v>
      </c>
      <c r="T35" t="s">
        <v>262</v>
      </c>
    </row>
    <row r="36" spans="1:20">
      <c r="A36">
        <v>51302</v>
      </c>
      <c r="B36" s="3">
        <v>45951</v>
      </c>
      <c r="C36" s="2">
        <v>0.14688657407532446</v>
      </c>
      <c r="D36">
        <v>72</v>
      </c>
      <c r="E36" t="s">
        <v>15</v>
      </c>
      <c r="F36" t="s">
        <v>11</v>
      </c>
      <c r="G36">
        <v>23183</v>
      </c>
      <c r="H36" t="s">
        <v>14</v>
      </c>
      <c r="I36" t="s">
        <v>19</v>
      </c>
      <c r="J36" t="s">
        <v>18</v>
      </c>
      <c r="K36" s="1">
        <v>26.95</v>
      </c>
      <c r="L36">
        <v>2</v>
      </c>
      <c r="M36" s="1">
        <v>53.9</v>
      </c>
      <c r="N36" s="4">
        <v>37.514399999999902</v>
      </c>
      <c r="O36" s="1">
        <v>29.458168087770002</v>
      </c>
      <c r="P36" s="4">
        <v>8.0562319122299897</v>
      </c>
      <c r="Q36">
        <v>1</v>
      </c>
      <c r="R36" t="s">
        <v>263</v>
      </c>
      <c r="S36">
        <v>0</v>
      </c>
      <c r="T36" t="s">
        <v>262</v>
      </c>
    </row>
    <row r="37" spans="1:20">
      <c r="A37">
        <v>9009</v>
      </c>
      <c r="B37" s="3">
        <v>45852</v>
      </c>
      <c r="C37" s="2">
        <v>0.64928240740846377</v>
      </c>
      <c r="D37">
        <v>53</v>
      </c>
      <c r="E37" t="s">
        <v>13</v>
      </c>
      <c r="F37" t="s">
        <v>11</v>
      </c>
      <c r="G37">
        <v>16892</v>
      </c>
      <c r="H37" t="s">
        <v>2</v>
      </c>
      <c r="I37" t="s">
        <v>1</v>
      </c>
      <c r="J37" t="s">
        <v>38</v>
      </c>
      <c r="K37" s="1">
        <v>37.31</v>
      </c>
      <c r="L37">
        <v>2</v>
      </c>
      <c r="M37" s="1">
        <v>74.62</v>
      </c>
      <c r="N37" s="1">
        <v>55.591900000000003</v>
      </c>
      <c r="O37" s="4">
        <v>36.915124814679203</v>
      </c>
      <c r="P37" s="4">
        <v>18.6767751853207</v>
      </c>
      <c r="Q37">
        <v>8</v>
      </c>
      <c r="R37">
        <v>4</v>
      </c>
      <c r="S37">
        <v>1</v>
      </c>
      <c r="T37" t="s">
        <v>262</v>
      </c>
    </row>
    <row r="38" spans="1:20">
      <c r="A38">
        <v>47522</v>
      </c>
      <c r="B38" s="3">
        <v>45281</v>
      </c>
      <c r="C38" s="2">
        <v>0.74075231481401715</v>
      </c>
      <c r="D38">
        <v>16</v>
      </c>
      <c r="E38" t="s">
        <v>33</v>
      </c>
      <c r="F38" t="s">
        <v>11</v>
      </c>
      <c r="G38">
        <v>7382</v>
      </c>
      <c r="H38" t="s">
        <v>6</v>
      </c>
      <c r="I38" t="s">
        <v>1</v>
      </c>
      <c r="J38" t="s">
        <v>5</v>
      </c>
      <c r="K38" s="1">
        <v>68.36</v>
      </c>
      <c r="L38">
        <v>1</v>
      </c>
      <c r="M38" s="1">
        <v>68.36</v>
      </c>
      <c r="N38" s="1">
        <v>58.447800000000001</v>
      </c>
      <c r="O38" s="4">
        <v>42.667253592489999</v>
      </c>
      <c r="P38" s="4">
        <v>15.780546407509901</v>
      </c>
      <c r="Q38">
        <v>3</v>
      </c>
      <c r="R38">
        <v>2</v>
      </c>
      <c r="S38">
        <v>0</v>
      </c>
      <c r="T38" t="s">
        <v>262</v>
      </c>
    </row>
    <row r="39" spans="1:20">
      <c r="A39">
        <v>25225</v>
      </c>
      <c r="B39" s="3">
        <v>45459</v>
      </c>
      <c r="C39" s="2">
        <v>0.49187499999970896</v>
      </c>
      <c r="D39">
        <v>3</v>
      </c>
      <c r="E39" t="s">
        <v>13</v>
      </c>
      <c r="F39" t="s">
        <v>11</v>
      </c>
      <c r="G39">
        <v>4514</v>
      </c>
      <c r="H39" t="s">
        <v>2</v>
      </c>
      <c r="I39" t="s">
        <v>19</v>
      </c>
      <c r="J39" t="s">
        <v>40</v>
      </c>
      <c r="K39" s="1">
        <v>82.03</v>
      </c>
      <c r="L39">
        <v>1</v>
      </c>
      <c r="M39" s="1">
        <v>82.03</v>
      </c>
      <c r="N39" s="4">
        <v>68.495049999999907</v>
      </c>
      <c r="O39" s="4">
        <v>53.3595067189651</v>
      </c>
      <c r="P39" s="4">
        <v>15.135543281034799</v>
      </c>
      <c r="Q39">
        <v>6</v>
      </c>
      <c r="R39">
        <v>1</v>
      </c>
      <c r="S39">
        <v>0</v>
      </c>
      <c r="T39" t="s">
        <v>262</v>
      </c>
    </row>
    <row r="40" spans="1:20">
      <c r="A40">
        <v>48922</v>
      </c>
      <c r="B40" s="3">
        <v>45569</v>
      </c>
      <c r="C40" s="2">
        <v>0.45325231481547235</v>
      </c>
      <c r="D40">
        <v>4</v>
      </c>
      <c r="E40" t="s">
        <v>15</v>
      </c>
      <c r="F40" t="s">
        <v>7</v>
      </c>
      <c r="G40">
        <v>10390</v>
      </c>
      <c r="H40" t="s">
        <v>14</v>
      </c>
      <c r="I40" t="s">
        <v>9</v>
      </c>
      <c r="J40" t="s">
        <v>37</v>
      </c>
      <c r="K40" s="1">
        <v>24.05</v>
      </c>
      <c r="L40">
        <v>4</v>
      </c>
      <c r="M40" s="1">
        <v>96.2</v>
      </c>
      <c r="N40" s="4">
        <v>80.134599999999907</v>
      </c>
      <c r="O40" s="1" t="s">
        <v>263</v>
      </c>
      <c r="P40" s="1" t="s">
        <v>263</v>
      </c>
      <c r="Q40">
        <v>8</v>
      </c>
      <c r="R40">
        <v>5</v>
      </c>
      <c r="S40">
        <v>0</v>
      </c>
      <c r="T40" t="s">
        <v>264</v>
      </c>
    </row>
    <row r="41" spans="1:20">
      <c r="A41">
        <v>37979</v>
      </c>
      <c r="B41" s="3">
        <v>45978</v>
      </c>
      <c r="C41" s="2">
        <v>0.12134259259619284</v>
      </c>
      <c r="D41">
        <v>81</v>
      </c>
      <c r="E41" t="s">
        <v>21</v>
      </c>
      <c r="F41" t="s">
        <v>30</v>
      </c>
      <c r="G41">
        <v>9121</v>
      </c>
      <c r="H41" t="s">
        <v>14</v>
      </c>
      <c r="I41" t="s">
        <v>23</v>
      </c>
      <c r="J41" t="s">
        <v>39</v>
      </c>
      <c r="K41" s="1">
        <v>118.59</v>
      </c>
      <c r="L41">
        <v>1</v>
      </c>
      <c r="M41" s="1">
        <v>118.59</v>
      </c>
      <c r="N41" s="1">
        <v>100.92009</v>
      </c>
      <c r="O41" s="4">
        <v>76.938138700045201</v>
      </c>
      <c r="P41" s="4">
        <v>23.981951299954702</v>
      </c>
      <c r="Q41">
        <v>3</v>
      </c>
      <c r="R41">
        <v>5</v>
      </c>
      <c r="S41">
        <v>0</v>
      </c>
      <c r="T41" t="s">
        <v>262</v>
      </c>
    </row>
    <row r="42" spans="1:20">
      <c r="A42">
        <v>44172</v>
      </c>
      <c r="B42" s="3">
        <v>44991</v>
      </c>
      <c r="C42" s="2">
        <v>0.92253472222364508</v>
      </c>
      <c r="D42">
        <v>29</v>
      </c>
      <c r="E42" t="s">
        <v>33</v>
      </c>
      <c r="F42" t="s">
        <v>30</v>
      </c>
      <c r="G42">
        <v>21221</v>
      </c>
      <c r="H42" t="s">
        <v>6</v>
      </c>
      <c r="I42" t="s">
        <v>23</v>
      </c>
      <c r="J42" t="s">
        <v>34</v>
      </c>
      <c r="K42" s="1">
        <v>64.64</v>
      </c>
      <c r="L42">
        <v>2</v>
      </c>
      <c r="M42" s="1">
        <v>129.28</v>
      </c>
      <c r="N42" s="1">
        <v>110.66368</v>
      </c>
      <c r="O42" s="1" t="s">
        <v>263</v>
      </c>
      <c r="P42" s="1" t="s">
        <v>263</v>
      </c>
      <c r="Q42">
        <v>4</v>
      </c>
      <c r="R42">
        <v>3</v>
      </c>
      <c r="S42">
        <v>0</v>
      </c>
      <c r="T42" t="s">
        <v>264</v>
      </c>
    </row>
    <row r="43" spans="1:20">
      <c r="A43">
        <v>26304</v>
      </c>
      <c r="B43" s="3">
        <v>45362</v>
      </c>
      <c r="C43" s="2">
        <v>0.22995370370335877</v>
      </c>
      <c r="D43">
        <v>62</v>
      </c>
      <c r="E43" t="s">
        <v>33</v>
      </c>
      <c r="F43" t="s">
        <v>7</v>
      </c>
      <c r="G43">
        <v>24096</v>
      </c>
      <c r="H43" t="s">
        <v>2</v>
      </c>
      <c r="I43" t="s">
        <v>23</v>
      </c>
      <c r="J43" t="s">
        <v>22</v>
      </c>
      <c r="K43" s="1">
        <v>68.39</v>
      </c>
      <c r="L43">
        <v>1</v>
      </c>
      <c r="M43" s="1">
        <v>68.39</v>
      </c>
      <c r="N43" s="1">
        <v>52.797080000000001</v>
      </c>
      <c r="O43" s="4">
        <v>41.133476184281399</v>
      </c>
      <c r="P43" s="4">
        <v>11.663603815718499</v>
      </c>
      <c r="Q43">
        <v>1</v>
      </c>
      <c r="R43" t="s">
        <v>263</v>
      </c>
      <c r="S43">
        <v>0</v>
      </c>
      <c r="T43" t="s">
        <v>262</v>
      </c>
    </row>
    <row r="44" spans="1:20">
      <c r="A44">
        <v>19459</v>
      </c>
      <c r="B44" s="3">
        <v>45185</v>
      </c>
      <c r="C44" s="2">
        <v>0.4388078703705105</v>
      </c>
      <c r="D44">
        <v>1</v>
      </c>
      <c r="E44" t="s">
        <v>13</v>
      </c>
      <c r="F44" t="s">
        <v>7</v>
      </c>
      <c r="G44">
        <v>22068</v>
      </c>
      <c r="H44" t="s">
        <v>6</v>
      </c>
      <c r="I44" t="s">
        <v>19</v>
      </c>
      <c r="J44" t="s">
        <v>20</v>
      </c>
      <c r="K44" s="1">
        <v>21.31</v>
      </c>
      <c r="L44">
        <v>0</v>
      </c>
      <c r="M44" s="1">
        <v>0</v>
      </c>
      <c r="N44" s="1" t="s">
        <v>263</v>
      </c>
      <c r="O44" s="1" t="s">
        <v>263</v>
      </c>
      <c r="P44" s="1" t="s">
        <v>263</v>
      </c>
      <c r="Q44">
        <v>0</v>
      </c>
      <c r="R44">
        <v>3</v>
      </c>
      <c r="S44">
        <v>0</v>
      </c>
      <c r="T44" t="s">
        <v>264</v>
      </c>
    </row>
    <row r="45" spans="1:20">
      <c r="A45">
        <v>5370</v>
      </c>
      <c r="B45" s="3">
        <v>45512</v>
      </c>
      <c r="C45" s="2">
        <v>0.70136574074422242</v>
      </c>
      <c r="D45">
        <v>19</v>
      </c>
      <c r="E45" t="s">
        <v>21</v>
      </c>
      <c r="F45" t="s">
        <v>11</v>
      </c>
      <c r="G45">
        <v>12550</v>
      </c>
      <c r="H45" t="s">
        <v>14</v>
      </c>
      <c r="I45" t="s">
        <v>23</v>
      </c>
      <c r="J45" t="s">
        <v>34</v>
      </c>
      <c r="K45" s="1">
        <v>69.400000000000006</v>
      </c>
      <c r="L45">
        <v>2</v>
      </c>
      <c r="M45" s="1">
        <v>138.80000000000001</v>
      </c>
      <c r="N45" s="4">
        <v>128.52879999999999</v>
      </c>
      <c r="O45" s="4">
        <v>75.872543933626503</v>
      </c>
      <c r="P45" s="4">
        <v>52.656256066373402</v>
      </c>
      <c r="Q45">
        <v>2</v>
      </c>
      <c r="R45">
        <v>1</v>
      </c>
      <c r="S45">
        <v>0</v>
      </c>
      <c r="T45" t="s">
        <v>262</v>
      </c>
    </row>
    <row r="46" spans="1:20">
      <c r="A46">
        <v>50292</v>
      </c>
      <c r="B46" s="3">
        <v>45993</v>
      </c>
      <c r="C46" s="2">
        <v>0.95909722222131677</v>
      </c>
      <c r="D46">
        <v>2</v>
      </c>
      <c r="E46" t="s">
        <v>15</v>
      </c>
      <c r="F46" t="s">
        <v>3</v>
      </c>
      <c r="G46">
        <v>21821</v>
      </c>
      <c r="H46" t="s">
        <v>14</v>
      </c>
      <c r="I46" t="s">
        <v>1</v>
      </c>
      <c r="J46" t="s">
        <v>265</v>
      </c>
      <c r="K46" s="1">
        <v>173.08</v>
      </c>
      <c r="L46">
        <v>1</v>
      </c>
      <c r="M46" s="1">
        <v>173.08</v>
      </c>
      <c r="N46" s="1">
        <v>139.67555999999999</v>
      </c>
      <c r="O46" s="1">
        <v>87.658795435548299</v>
      </c>
      <c r="P46" s="4">
        <v>52.016764564451599</v>
      </c>
      <c r="Q46">
        <v>0</v>
      </c>
      <c r="R46">
        <v>4</v>
      </c>
      <c r="S46">
        <v>0</v>
      </c>
      <c r="T46" t="s">
        <v>262</v>
      </c>
    </row>
    <row r="47" spans="1:20">
      <c r="A47">
        <v>25952</v>
      </c>
      <c r="B47" s="3">
        <v>45480</v>
      </c>
      <c r="C47" s="2">
        <v>0.19405092592933215</v>
      </c>
      <c r="D47">
        <v>76</v>
      </c>
      <c r="E47" t="s">
        <v>33</v>
      </c>
      <c r="F47" t="s">
        <v>30</v>
      </c>
      <c r="G47">
        <v>631</v>
      </c>
      <c r="H47" t="s">
        <v>6</v>
      </c>
      <c r="I47" t="s">
        <v>16</v>
      </c>
      <c r="J47" t="s">
        <v>265</v>
      </c>
      <c r="K47" s="1">
        <v>193.52</v>
      </c>
      <c r="L47">
        <v>3</v>
      </c>
      <c r="M47" s="4">
        <v>580.55999999999995</v>
      </c>
      <c r="N47" s="1" t="s">
        <v>263</v>
      </c>
      <c r="O47" s="1" t="s">
        <v>263</v>
      </c>
      <c r="P47" s="1" t="s">
        <v>263</v>
      </c>
      <c r="Q47">
        <v>4</v>
      </c>
      <c r="R47">
        <v>5</v>
      </c>
      <c r="S47" t="s">
        <v>263</v>
      </c>
      <c r="T47" t="s">
        <v>264</v>
      </c>
    </row>
    <row r="48" spans="1:20">
      <c r="A48">
        <v>54909</v>
      </c>
      <c r="B48" s="3">
        <v>45765</v>
      </c>
      <c r="C48" s="2">
        <v>1.7928240740729962E-2</v>
      </c>
      <c r="D48">
        <v>20</v>
      </c>
      <c r="E48" t="s">
        <v>21</v>
      </c>
      <c r="F48" t="s">
        <v>3</v>
      </c>
      <c r="G48">
        <v>15565</v>
      </c>
      <c r="H48" t="s">
        <v>6</v>
      </c>
      <c r="I48" t="s">
        <v>19</v>
      </c>
      <c r="J48" t="s">
        <v>20</v>
      </c>
      <c r="K48" s="1">
        <v>25.42</v>
      </c>
      <c r="L48">
        <v>3</v>
      </c>
      <c r="M48" s="1">
        <v>76.260000000000005</v>
      </c>
      <c r="N48" s="4">
        <v>38.282519999999998</v>
      </c>
      <c r="O48" s="4">
        <v>27.869685723179401</v>
      </c>
      <c r="P48" s="4">
        <v>10.412834276820499</v>
      </c>
      <c r="Q48">
        <v>7</v>
      </c>
      <c r="R48">
        <v>2</v>
      </c>
      <c r="S48">
        <v>0</v>
      </c>
      <c r="T48" t="s">
        <v>262</v>
      </c>
    </row>
    <row r="49" spans="1:20">
      <c r="A49">
        <v>56363</v>
      </c>
      <c r="B49" s="3">
        <v>44982</v>
      </c>
      <c r="C49" s="2">
        <v>0.47709490740817273</v>
      </c>
      <c r="D49">
        <v>61</v>
      </c>
      <c r="E49" t="s">
        <v>33</v>
      </c>
      <c r="F49" t="s">
        <v>11</v>
      </c>
      <c r="G49">
        <v>10613</v>
      </c>
      <c r="H49" t="s">
        <v>6</v>
      </c>
      <c r="I49" t="s">
        <v>16</v>
      </c>
      <c r="J49" t="s">
        <v>28</v>
      </c>
      <c r="K49" s="1">
        <v>154.55000000000001</v>
      </c>
      <c r="L49">
        <v>2</v>
      </c>
      <c r="M49" s="1">
        <v>309.10000000000002</v>
      </c>
      <c r="N49" s="4">
        <v>198.75129999999999</v>
      </c>
      <c r="O49" s="4">
        <v>165.42493162263699</v>
      </c>
      <c r="P49" s="4">
        <v>33.326368377362698</v>
      </c>
      <c r="Q49">
        <v>1</v>
      </c>
      <c r="R49">
        <v>5</v>
      </c>
      <c r="S49">
        <v>0</v>
      </c>
      <c r="T49" t="s">
        <v>262</v>
      </c>
    </row>
    <row r="50" spans="1:20">
      <c r="A50">
        <v>32219</v>
      </c>
      <c r="B50" s="3">
        <v>45477</v>
      </c>
      <c r="C50" s="2">
        <v>0.55429398148407927</v>
      </c>
      <c r="D50">
        <v>18</v>
      </c>
      <c r="E50" t="s">
        <v>21</v>
      </c>
      <c r="F50" t="s">
        <v>30</v>
      </c>
      <c r="G50">
        <v>15268</v>
      </c>
      <c r="H50" t="s">
        <v>14</v>
      </c>
      <c r="I50" t="s">
        <v>9</v>
      </c>
      <c r="J50" t="s">
        <v>12</v>
      </c>
      <c r="K50" s="1">
        <v>40.31</v>
      </c>
      <c r="L50">
        <v>4</v>
      </c>
      <c r="M50" s="1">
        <v>161.24</v>
      </c>
      <c r="N50" s="1">
        <v>135.76408000000001</v>
      </c>
      <c r="O50" s="4">
        <v>83.250351749040405</v>
      </c>
      <c r="P50" s="4">
        <v>52.513728250959502</v>
      </c>
      <c r="Q50">
        <v>6</v>
      </c>
      <c r="R50">
        <v>2</v>
      </c>
      <c r="S50">
        <v>0</v>
      </c>
      <c r="T50" t="s">
        <v>262</v>
      </c>
    </row>
    <row r="51" spans="1:20">
      <c r="A51">
        <v>2886</v>
      </c>
      <c r="B51" s="3">
        <v>45023</v>
      </c>
      <c r="C51" s="2">
        <v>0.242083333330811</v>
      </c>
      <c r="D51">
        <v>61</v>
      </c>
      <c r="E51" t="s">
        <v>21</v>
      </c>
      <c r="F51" t="s">
        <v>3</v>
      </c>
      <c r="G51">
        <v>601</v>
      </c>
      <c r="H51" t="s">
        <v>14</v>
      </c>
      <c r="I51" t="s">
        <v>9</v>
      </c>
      <c r="J51" t="s">
        <v>37</v>
      </c>
      <c r="K51" s="1">
        <v>87.51</v>
      </c>
      <c r="L51">
        <v>3</v>
      </c>
      <c r="M51" s="4">
        <v>262.52999999999997</v>
      </c>
      <c r="N51" s="4">
        <v>251.24121</v>
      </c>
      <c r="O51" s="4">
        <v>153.83581699345299</v>
      </c>
      <c r="P51" s="4">
        <v>97.405393006546603</v>
      </c>
      <c r="Q51">
        <v>7</v>
      </c>
      <c r="R51">
        <v>2</v>
      </c>
      <c r="S51">
        <v>0</v>
      </c>
      <c r="T51" t="s">
        <v>262</v>
      </c>
    </row>
    <row r="52" spans="1:20">
      <c r="A52">
        <v>36560</v>
      </c>
      <c r="B52" s="3">
        <v>45400</v>
      </c>
      <c r="C52" s="2">
        <v>0.63637731481139781</v>
      </c>
      <c r="D52">
        <v>24</v>
      </c>
      <c r="E52" t="s">
        <v>33</v>
      </c>
      <c r="F52" t="s">
        <v>7</v>
      </c>
      <c r="G52">
        <v>9930</v>
      </c>
      <c r="H52" t="s">
        <v>6</v>
      </c>
      <c r="I52" t="s">
        <v>16</v>
      </c>
      <c r="J52" t="s">
        <v>24</v>
      </c>
      <c r="K52" s="1">
        <v>101.3</v>
      </c>
      <c r="L52">
        <v>2</v>
      </c>
      <c r="M52" s="1">
        <v>202.6</v>
      </c>
      <c r="N52" s="1">
        <v>166.53720000000001</v>
      </c>
      <c r="O52" s="4">
        <v>141.51137835227499</v>
      </c>
      <c r="P52" s="4">
        <v>25.0258216477242</v>
      </c>
      <c r="Q52">
        <v>8</v>
      </c>
      <c r="R52" t="s">
        <v>263</v>
      </c>
      <c r="S52">
        <v>0</v>
      </c>
      <c r="T52" t="s">
        <v>262</v>
      </c>
    </row>
    <row r="53" spans="1:20">
      <c r="A53">
        <v>8967</v>
      </c>
      <c r="B53" s="3">
        <v>45126</v>
      </c>
      <c r="C53" s="2">
        <v>0.18376157407328719</v>
      </c>
      <c r="D53">
        <v>59</v>
      </c>
      <c r="E53" t="s">
        <v>21</v>
      </c>
      <c r="F53" t="s">
        <v>7</v>
      </c>
      <c r="G53">
        <v>18582</v>
      </c>
      <c r="H53" t="s">
        <v>14</v>
      </c>
      <c r="I53" t="s">
        <v>23</v>
      </c>
      <c r="J53" t="s">
        <v>22</v>
      </c>
      <c r="K53" s="1">
        <v>51.61</v>
      </c>
      <c r="L53">
        <v>0</v>
      </c>
      <c r="M53" s="1">
        <v>0</v>
      </c>
      <c r="N53" s="1">
        <v>0</v>
      </c>
      <c r="O53" s="1">
        <v>0</v>
      </c>
      <c r="P53" s="1">
        <v>0</v>
      </c>
      <c r="Q53">
        <v>3</v>
      </c>
      <c r="R53">
        <v>5</v>
      </c>
      <c r="S53">
        <v>0</v>
      </c>
      <c r="T53" t="s">
        <v>264</v>
      </c>
    </row>
    <row r="54" spans="1:20">
      <c r="A54">
        <v>46575</v>
      </c>
      <c r="B54" s="3">
        <v>45033</v>
      </c>
      <c r="C54" s="2">
        <v>0.49915509259153623</v>
      </c>
      <c r="D54">
        <v>40</v>
      </c>
      <c r="E54" t="s">
        <v>21</v>
      </c>
      <c r="F54" t="s">
        <v>3</v>
      </c>
      <c r="G54">
        <v>4955</v>
      </c>
      <c r="H54" t="s">
        <v>14</v>
      </c>
      <c r="I54" t="s">
        <v>19</v>
      </c>
      <c r="J54" t="s">
        <v>26</v>
      </c>
      <c r="K54" s="1">
        <v>156.05000000000001</v>
      </c>
      <c r="L54">
        <v>2</v>
      </c>
      <c r="M54" s="1">
        <v>312.10000000000002</v>
      </c>
      <c r="N54" s="4">
        <v>270.27859999999998</v>
      </c>
      <c r="O54" s="4">
        <v>225.22404908755999</v>
      </c>
      <c r="P54" s="4">
        <v>45.054550912439701</v>
      </c>
      <c r="Q54">
        <v>9</v>
      </c>
      <c r="R54">
        <v>5</v>
      </c>
      <c r="S54">
        <v>0</v>
      </c>
      <c r="T54" t="s">
        <v>262</v>
      </c>
    </row>
    <row r="55" spans="1:20">
      <c r="A55">
        <v>10531</v>
      </c>
      <c r="B55" s="3">
        <v>45907</v>
      </c>
      <c r="C55" s="2">
        <v>4.0729166663368233E-2</v>
      </c>
      <c r="D55">
        <v>26</v>
      </c>
      <c r="E55" t="s">
        <v>13</v>
      </c>
      <c r="F55" t="s">
        <v>7</v>
      </c>
      <c r="G55">
        <v>27886</v>
      </c>
      <c r="H55" t="s">
        <v>14</v>
      </c>
      <c r="I55" t="s">
        <v>19</v>
      </c>
      <c r="J55" t="s">
        <v>265</v>
      </c>
      <c r="K55" s="1">
        <v>65.959999999999994</v>
      </c>
      <c r="L55">
        <v>1</v>
      </c>
      <c r="M55" s="1">
        <v>65.959999999999994</v>
      </c>
      <c r="N55" s="1">
        <v>60.22148</v>
      </c>
      <c r="O55" s="4">
        <v>36.102694674746701</v>
      </c>
      <c r="P55" s="4">
        <v>24.118785325253199</v>
      </c>
      <c r="Q55">
        <v>5</v>
      </c>
      <c r="R55">
        <v>1</v>
      </c>
      <c r="S55">
        <v>0</v>
      </c>
      <c r="T55" t="s">
        <v>262</v>
      </c>
    </row>
    <row r="56" spans="1:20">
      <c r="A56">
        <v>44629</v>
      </c>
      <c r="B56" s="3">
        <v>45002</v>
      </c>
      <c r="C56" s="2">
        <v>0.9935648148166365</v>
      </c>
      <c r="D56">
        <v>45</v>
      </c>
      <c r="E56" t="s">
        <v>21</v>
      </c>
      <c r="F56" t="s">
        <v>11</v>
      </c>
      <c r="G56">
        <v>22933</v>
      </c>
      <c r="H56" t="s">
        <v>14</v>
      </c>
      <c r="I56" t="s">
        <v>16</v>
      </c>
      <c r="J56" t="s">
        <v>36</v>
      </c>
      <c r="K56" s="1">
        <v>48.24</v>
      </c>
      <c r="L56">
        <v>0</v>
      </c>
      <c r="M56" s="1">
        <v>0</v>
      </c>
      <c r="N56" s="1">
        <v>0</v>
      </c>
      <c r="O56" s="1">
        <v>0</v>
      </c>
      <c r="P56" s="1">
        <v>0</v>
      </c>
      <c r="Q56">
        <v>1</v>
      </c>
      <c r="R56">
        <v>1</v>
      </c>
      <c r="S56">
        <v>0</v>
      </c>
      <c r="T56" t="s">
        <v>264</v>
      </c>
    </row>
    <row r="57" spans="1:20">
      <c r="A57">
        <v>274</v>
      </c>
      <c r="B57" s="3">
        <v>45713</v>
      </c>
      <c r="C57" s="2">
        <v>0.83524305555329192</v>
      </c>
      <c r="D57">
        <v>62</v>
      </c>
      <c r="E57" t="s">
        <v>21</v>
      </c>
      <c r="F57" t="s">
        <v>11</v>
      </c>
      <c r="G57">
        <v>17184</v>
      </c>
      <c r="H57" t="s">
        <v>6</v>
      </c>
      <c r="I57" t="s">
        <v>23</v>
      </c>
      <c r="J57" t="s">
        <v>22</v>
      </c>
      <c r="K57" s="1">
        <v>63.19</v>
      </c>
      <c r="L57">
        <v>0</v>
      </c>
      <c r="M57" s="1">
        <v>0</v>
      </c>
      <c r="N57" s="1" t="s">
        <v>263</v>
      </c>
      <c r="O57" s="1" t="s">
        <v>263</v>
      </c>
      <c r="P57" s="1" t="s">
        <v>263</v>
      </c>
      <c r="Q57">
        <v>7</v>
      </c>
      <c r="R57">
        <v>2</v>
      </c>
      <c r="S57" t="s">
        <v>263</v>
      </c>
      <c r="T57" t="s">
        <v>264</v>
      </c>
    </row>
    <row r="58" spans="1:20">
      <c r="A58">
        <v>19270</v>
      </c>
      <c r="B58" s="3">
        <v>45822</v>
      </c>
      <c r="C58" s="2">
        <v>0.64679398148291511</v>
      </c>
      <c r="D58">
        <v>8</v>
      </c>
      <c r="E58" t="s">
        <v>13</v>
      </c>
      <c r="F58" t="s">
        <v>11</v>
      </c>
      <c r="G58">
        <v>9081</v>
      </c>
      <c r="H58" t="s">
        <v>6</v>
      </c>
      <c r="I58" t="s">
        <v>9</v>
      </c>
      <c r="J58" t="s">
        <v>35</v>
      </c>
      <c r="K58" s="1">
        <v>40.369999999999997</v>
      </c>
      <c r="L58">
        <v>1</v>
      </c>
      <c r="M58" s="1">
        <v>40.369999999999997</v>
      </c>
      <c r="N58" s="1">
        <v>29.914169999999999</v>
      </c>
      <c r="O58" s="4">
        <v>18.998809831319601</v>
      </c>
      <c r="P58" s="4">
        <v>10.9153601686803</v>
      </c>
      <c r="Q58">
        <v>7</v>
      </c>
      <c r="R58">
        <v>2</v>
      </c>
      <c r="S58">
        <v>0</v>
      </c>
      <c r="T58" t="s">
        <v>262</v>
      </c>
    </row>
    <row r="59" spans="1:20">
      <c r="A59">
        <v>36912</v>
      </c>
      <c r="B59" s="3">
        <v>45314</v>
      </c>
      <c r="C59" s="2">
        <v>0.83010416666365927</v>
      </c>
      <c r="D59">
        <v>13</v>
      </c>
      <c r="E59" t="s">
        <v>15</v>
      </c>
      <c r="F59" t="s">
        <v>7</v>
      </c>
      <c r="G59">
        <v>22000</v>
      </c>
      <c r="H59" t="s">
        <v>2</v>
      </c>
      <c r="I59" t="s">
        <v>19</v>
      </c>
      <c r="J59" t="s">
        <v>20</v>
      </c>
      <c r="K59" s="1">
        <v>75.099999999999994</v>
      </c>
      <c r="L59">
        <v>4</v>
      </c>
      <c r="M59" s="1">
        <v>300.39999999999998</v>
      </c>
      <c r="N59" s="1">
        <v>199.1652</v>
      </c>
      <c r="O59" s="4">
        <v>134.131024214836</v>
      </c>
      <c r="P59" s="1">
        <v>65.034175785163796</v>
      </c>
      <c r="Q59">
        <v>5</v>
      </c>
      <c r="R59">
        <v>4</v>
      </c>
      <c r="S59">
        <v>0</v>
      </c>
      <c r="T59" t="s">
        <v>262</v>
      </c>
    </row>
    <row r="60" spans="1:20">
      <c r="A60">
        <v>10122</v>
      </c>
      <c r="B60" s="3">
        <v>45812</v>
      </c>
      <c r="C60" s="2">
        <v>0.35612268518161727</v>
      </c>
      <c r="D60">
        <v>4</v>
      </c>
      <c r="E60" t="s">
        <v>33</v>
      </c>
      <c r="F60" t="s">
        <v>11</v>
      </c>
      <c r="G60">
        <v>5317</v>
      </c>
      <c r="H60" t="s">
        <v>2</v>
      </c>
      <c r="I60" t="s">
        <v>19</v>
      </c>
      <c r="J60" t="s">
        <v>26</v>
      </c>
      <c r="K60" s="1">
        <v>31.62</v>
      </c>
      <c r="L60">
        <v>2</v>
      </c>
      <c r="M60" s="1">
        <v>63.24</v>
      </c>
      <c r="N60" s="1">
        <v>60.836880000000001</v>
      </c>
      <c r="O60" s="1" t="s">
        <v>263</v>
      </c>
      <c r="P60" s="1" t="s">
        <v>263</v>
      </c>
      <c r="Q60">
        <v>9</v>
      </c>
      <c r="R60">
        <v>2</v>
      </c>
      <c r="S60">
        <v>0</v>
      </c>
      <c r="T60" t="s">
        <v>264</v>
      </c>
    </row>
    <row r="61" spans="1:20">
      <c r="A61">
        <v>13291</v>
      </c>
      <c r="B61" s="3">
        <v>44972</v>
      </c>
      <c r="C61" s="2">
        <v>0.15910879629518604</v>
      </c>
      <c r="D61">
        <v>27</v>
      </c>
      <c r="E61" t="s">
        <v>33</v>
      </c>
      <c r="F61" t="s">
        <v>11</v>
      </c>
      <c r="G61">
        <v>55</v>
      </c>
      <c r="H61" t="s">
        <v>2</v>
      </c>
      <c r="I61" t="s">
        <v>9</v>
      </c>
      <c r="J61" t="s">
        <v>35</v>
      </c>
      <c r="K61" s="1">
        <v>59.97</v>
      </c>
      <c r="L61">
        <v>4</v>
      </c>
      <c r="M61" s="1">
        <v>239.88</v>
      </c>
      <c r="N61" s="1">
        <v>203.65812</v>
      </c>
      <c r="O61" s="4">
        <v>132.74900014507</v>
      </c>
      <c r="P61" s="1">
        <v>70.909119854929401</v>
      </c>
      <c r="Q61">
        <v>6</v>
      </c>
      <c r="R61">
        <v>5</v>
      </c>
      <c r="S61">
        <v>0</v>
      </c>
      <c r="T61" t="s">
        <v>262</v>
      </c>
    </row>
    <row r="62" spans="1:20">
      <c r="A62">
        <v>57607</v>
      </c>
      <c r="B62" s="3">
        <v>45140</v>
      </c>
      <c r="C62" s="2">
        <v>0.68178240740962792</v>
      </c>
      <c r="D62">
        <v>78</v>
      </c>
      <c r="E62" t="s">
        <v>33</v>
      </c>
      <c r="F62" t="s">
        <v>11</v>
      </c>
      <c r="G62">
        <v>28569</v>
      </c>
      <c r="H62" t="s">
        <v>14</v>
      </c>
      <c r="I62" t="s">
        <v>19</v>
      </c>
      <c r="J62" t="s">
        <v>20</v>
      </c>
      <c r="K62" s="1">
        <v>75.349999999999994</v>
      </c>
      <c r="L62">
        <v>3</v>
      </c>
      <c r="M62" s="4">
        <v>226.04999999999899</v>
      </c>
      <c r="N62" s="4">
        <v>183.326549999999</v>
      </c>
      <c r="O62" s="1" t="s">
        <v>263</v>
      </c>
      <c r="P62" s="1" t="s">
        <v>263</v>
      </c>
      <c r="Q62">
        <v>5</v>
      </c>
      <c r="R62">
        <v>3</v>
      </c>
      <c r="S62">
        <v>1</v>
      </c>
      <c r="T62" t="s">
        <v>264</v>
      </c>
    </row>
    <row r="63" spans="1:20">
      <c r="A63">
        <v>47190</v>
      </c>
      <c r="B63" s="3">
        <v>45478</v>
      </c>
      <c r="C63" s="2">
        <v>0.66336805555329192</v>
      </c>
      <c r="D63">
        <v>14</v>
      </c>
      <c r="E63" t="s">
        <v>33</v>
      </c>
      <c r="F63" t="s">
        <v>3</v>
      </c>
      <c r="G63">
        <v>26203</v>
      </c>
      <c r="H63" t="s">
        <v>6</v>
      </c>
      <c r="I63" t="s">
        <v>19</v>
      </c>
      <c r="J63" t="s">
        <v>40</v>
      </c>
      <c r="K63" s="1">
        <v>88.33</v>
      </c>
      <c r="L63">
        <v>3</v>
      </c>
      <c r="M63" s="1">
        <v>264.99</v>
      </c>
      <c r="N63" s="1">
        <v>226.03647000000001</v>
      </c>
      <c r="O63" s="4">
        <v>169.459917661616</v>
      </c>
      <c r="P63" s="4">
        <v>56.5765523383835</v>
      </c>
      <c r="Q63">
        <v>4</v>
      </c>
      <c r="R63">
        <v>5</v>
      </c>
      <c r="S63">
        <v>0</v>
      </c>
      <c r="T63" t="s">
        <v>262</v>
      </c>
    </row>
    <row r="64" spans="1:20">
      <c r="A64">
        <v>29210</v>
      </c>
      <c r="B64" s="3">
        <v>45981</v>
      </c>
      <c r="C64" s="2">
        <v>0.18135416666336823</v>
      </c>
      <c r="D64">
        <v>62</v>
      </c>
      <c r="E64" t="s">
        <v>15</v>
      </c>
      <c r="F64" t="s">
        <v>3</v>
      </c>
      <c r="G64">
        <v>11730</v>
      </c>
      <c r="H64" t="s">
        <v>6</v>
      </c>
      <c r="I64" t="s">
        <v>9</v>
      </c>
      <c r="J64" t="s">
        <v>12</v>
      </c>
      <c r="K64" s="1">
        <v>183.12</v>
      </c>
      <c r="L64">
        <v>5</v>
      </c>
      <c r="M64" s="1">
        <v>915.6</v>
      </c>
      <c r="N64" s="1">
        <v>628.10159999999996</v>
      </c>
      <c r="O64" s="4">
        <v>424.84342229705601</v>
      </c>
      <c r="P64" s="4">
        <v>203.25817770294299</v>
      </c>
      <c r="Q64">
        <v>6</v>
      </c>
      <c r="R64">
        <v>4</v>
      </c>
      <c r="S64">
        <v>0</v>
      </c>
      <c r="T64" t="s">
        <v>262</v>
      </c>
    </row>
    <row r="65" spans="1:20">
      <c r="A65">
        <v>42188</v>
      </c>
      <c r="B65" s="3">
        <v>45322</v>
      </c>
      <c r="C65" s="2">
        <v>0.61642361111444188</v>
      </c>
      <c r="D65">
        <v>72</v>
      </c>
      <c r="E65" t="s">
        <v>15</v>
      </c>
      <c r="F65" t="s">
        <v>7</v>
      </c>
      <c r="G65">
        <v>1449</v>
      </c>
      <c r="H65" t="s">
        <v>6</v>
      </c>
      <c r="I65" t="s">
        <v>1</v>
      </c>
      <c r="J65" t="s">
        <v>38</v>
      </c>
      <c r="K65" s="1">
        <v>102.44</v>
      </c>
      <c r="L65">
        <v>4</v>
      </c>
      <c r="M65" s="1">
        <v>409.76</v>
      </c>
      <c r="N65" s="4">
        <v>222.49967999999899</v>
      </c>
      <c r="O65" s="4">
        <v>146.01190441492599</v>
      </c>
      <c r="P65" s="4">
        <v>76.487775585072995</v>
      </c>
      <c r="Q65">
        <v>5</v>
      </c>
      <c r="R65">
        <v>4</v>
      </c>
      <c r="S65">
        <v>0</v>
      </c>
      <c r="T65" t="s">
        <v>262</v>
      </c>
    </row>
    <row r="66" spans="1:20">
      <c r="A66">
        <v>25387</v>
      </c>
      <c r="B66" s="3">
        <v>45954</v>
      </c>
      <c r="C66" s="2">
        <v>0.66359953703795327</v>
      </c>
      <c r="D66">
        <v>24</v>
      </c>
      <c r="E66" t="s">
        <v>33</v>
      </c>
      <c r="F66" t="s">
        <v>7</v>
      </c>
      <c r="G66">
        <v>5271</v>
      </c>
      <c r="H66" t="s">
        <v>2</v>
      </c>
      <c r="I66" t="s">
        <v>16</v>
      </c>
      <c r="J66" t="s">
        <v>24</v>
      </c>
      <c r="K66" s="1">
        <v>93.37</v>
      </c>
      <c r="L66">
        <v>2</v>
      </c>
      <c r="M66" s="1">
        <v>186.74</v>
      </c>
      <c r="N66" s="1" t="s">
        <v>263</v>
      </c>
      <c r="O66" s="1" t="s">
        <v>263</v>
      </c>
      <c r="P66" s="1" t="s">
        <v>263</v>
      </c>
      <c r="Q66">
        <v>3</v>
      </c>
      <c r="R66">
        <v>4</v>
      </c>
      <c r="S66">
        <v>0</v>
      </c>
      <c r="T66" t="s">
        <v>264</v>
      </c>
    </row>
    <row r="67" spans="1:20">
      <c r="A67">
        <v>17006</v>
      </c>
      <c r="B67" s="3">
        <v>44943</v>
      </c>
      <c r="C67" s="2">
        <v>0.36179398147942265</v>
      </c>
      <c r="D67">
        <v>33</v>
      </c>
      <c r="E67" t="s">
        <v>13</v>
      </c>
      <c r="F67" t="s">
        <v>3</v>
      </c>
      <c r="G67">
        <v>16829</v>
      </c>
      <c r="H67" t="s">
        <v>14</v>
      </c>
      <c r="I67" t="s">
        <v>9</v>
      </c>
      <c r="J67" t="s">
        <v>12</v>
      </c>
      <c r="K67" s="1">
        <v>59.84</v>
      </c>
      <c r="L67">
        <v>2</v>
      </c>
      <c r="M67" s="1">
        <v>119.68</v>
      </c>
      <c r="N67" s="1">
        <v>87.964799999999997</v>
      </c>
      <c r="O67" s="1">
        <v>72.725178951592795</v>
      </c>
      <c r="P67" s="4">
        <v>15.2396210484072</v>
      </c>
      <c r="Q67">
        <v>7</v>
      </c>
      <c r="R67">
        <v>2</v>
      </c>
      <c r="S67" t="s">
        <v>263</v>
      </c>
      <c r="T67" t="s">
        <v>262</v>
      </c>
    </row>
    <row r="68" spans="1:20">
      <c r="A68">
        <v>10982</v>
      </c>
      <c r="B68" s="3">
        <v>45079</v>
      </c>
      <c r="C68" s="2">
        <v>0.90778935185517184</v>
      </c>
      <c r="D68">
        <v>68</v>
      </c>
      <c r="E68" t="s">
        <v>15</v>
      </c>
      <c r="F68" t="s">
        <v>7</v>
      </c>
      <c r="G68">
        <v>1365</v>
      </c>
      <c r="H68" t="s">
        <v>14</v>
      </c>
      <c r="I68" t="s">
        <v>19</v>
      </c>
      <c r="J68" t="s">
        <v>40</v>
      </c>
      <c r="K68" s="1">
        <v>50.89</v>
      </c>
      <c r="L68">
        <v>2</v>
      </c>
      <c r="M68" s="1">
        <v>101.78</v>
      </c>
      <c r="N68" s="1">
        <v>75.622540000000001</v>
      </c>
      <c r="O68" s="4">
        <v>54.734340786927902</v>
      </c>
      <c r="P68" s="4">
        <v>20.888199213071999</v>
      </c>
      <c r="Q68">
        <v>3</v>
      </c>
      <c r="R68">
        <v>2</v>
      </c>
      <c r="S68">
        <v>1</v>
      </c>
      <c r="T68" t="s">
        <v>262</v>
      </c>
    </row>
    <row r="69" spans="1:20">
      <c r="A69">
        <v>47314</v>
      </c>
      <c r="B69" s="3">
        <v>45590</v>
      </c>
      <c r="C69" s="2">
        <v>0.15644675926159834</v>
      </c>
      <c r="D69">
        <v>47</v>
      </c>
      <c r="E69" t="s">
        <v>21</v>
      </c>
      <c r="F69" t="s">
        <v>11</v>
      </c>
      <c r="G69">
        <v>29412</v>
      </c>
      <c r="H69" t="s">
        <v>14</v>
      </c>
      <c r="I69" t="s">
        <v>16</v>
      </c>
      <c r="J69" t="s">
        <v>24</v>
      </c>
      <c r="K69" s="1">
        <v>62.58</v>
      </c>
      <c r="L69" t="s">
        <v>263</v>
      </c>
      <c r="M69" s="1" t="s">
        <v>263</v>
      </c>
      <c r="N69" s="1" t="s">
        <v>263</v>
      </c>
      <c r="O69" s="1" t="s">
        <v>263</v>
      </c>
      <c r="P69" s="1" t="s">
        <v>263</v>
      </c>
      <c r="Q69">
        <v>4</v>
      </c>
      <c r="R69">
        <v>5</v>
      </c>
      <c r="S69">
        <v>0</v>
      </c>
      <c r="T69" t="s">
        <v>264</v>
      </c>
    </row>
    <row r="70" spans="1:20">
      <c r="A70">
        <v>27071</v>
      </c>
      <c r="B70" s="3">
        <v>45538</v>
      </c>
      <c r="C70" s="2">
        <v>0.83031250000203727</v>
      </c>
      <c r="D70">
        <v>9</v>
      </c>
      <c r="E70" t="s">
        <v>33</v>
      </c>
      <c r="F70" t="s">
        <v>7</v>
      </c>
      <c r="G70">
        <v>3728</v>
      </c>
      <c r="H70" t="s">
        <v>2</v>
      </c>
      <c r="I70" t="s">
        <v>19</v>
      </c>
      <c r="J70" t="s">
        <v>18</v>
      </c>
      <c r="K70" s="1">
        <v>46.23</v>
      </c>
      <c r="L70">
        <v>0</v>
      </c>
      <c r="M70" s="1">
        <v>0</v>
      </c>
      <c r="N70" s="1">
        <v>0</v>
      </c>
      <c r="O70" s="1">
        <v>0</v>
      </c>
      <c r="P70" s="1">
        <v>0</v>
      </c>
      <c r="Q70">
        <v>4</v>
      </c>
      <c r="R70">
        <v>3</v>
      </c>
      <c r="S70">
        <v>0</v>
      </c>
      <c r="T70" t="s">
        <v>264</v>
      </c>
    </row>
    <row r="71" spans="1:20">
      <c r="A71">
        <v>6686</v>
      </c>
      <c r="B71" s="3">
        <v>45501</v>
      </c>
      <c r="C71" s="2">
        <v>0.87415509259153623</v>
      </c>
      <c r="D71">
        <v>26</v>
      </c>
      <c r="E71" t="s">
        <v>21</v>
      </c>
      <c r="F71" t="s">
        <v>11</v>
      </c>
      <c r="G71">
        <v>19575</v>
      </c>
      <c r="H71" t="s">
        <v>14</v>
      </c>
      <c r="I71" t="s">
        <v>23</v>
      </c>
      <c r="J71" t="s">
        <v>34</v>
      </c>
      <c r="K71" s="1">
        <v>40.9</v>
      </c>
      <c r="L71">
        <v>2</v>
      </c>
      <c r="M71" s="1">
        <v>81.8</v>
      </c>
      <c r="N71" s="1">
        <v>70.020799999999994</v>
      </c>
      <c r="O71" s="1">
        <v>54.908055008638499</v>
      </c>
      <c r="P71" s="4">
        <v>15.112744991361399</v>
      </c>
      <c r="Q71">
        <v>2</v>
      </c>
      <c r="R71">
        <v>1</v>
      </c>
      <c r="S71">
        <v>0</v>
      </c>
      <c r="T71" t="s">
        <v>262</v>
      </c>
    </row>
    <row r="72" spans="1:20">
      <c r="A72">
        <v>54961</v>
      </c>
      <c r="B72" s="3">
        <v>44940</v>
      </c>
      <c r="C72" s="2">
        <v>0.95009259258949896</v>
      </c>
      <c r="D72">
        <v>53</v>
      </c>
      <c r="E72" t="s">
        <v>33</v>
      </c>
      <c r="F72" t="s">
        <v>7</v>
      </c>
      <c r="G72">
        <v>15682</v>
      </c>
      <c r="H72" t="s">
        <v>6</v>
      </c>
      <c r="I72" t="s">
        <v>23</v>
      </c>
      <c r="J72" t="s">
        <v>34</v>
      </c>
      <c r="K72" s="1">
        <v>54.67</v>
      </c>
      <c r="L72">
        <v>1</v>
      </c>
      <c r="M72" s="1">
        <v>54.67</v>
      </c>
      <c r="N72" s="4">
        <v>50.023049999999998</v>
      </c>
      <c r="O72" s="1" t="s">
        <v>263</v>
      </c>
      <c r="P72" s="1" t="s">
        <v>263</v>
      </c>
      <c r="Q72">
        <v>4</v>
      </c>
      <c r="R72">
        <v>4</v>
      </c>
      <c r="S72">
        <v>0</v>
      </c>
      <c r="T72" t="s">
        <v>264</v>
      </c>
    </row>
    <row r="73" spans="1:20">
      <c r="A73">
        <v>58126</v>
      </c>
      <c r="B73" s="3">
        <v>45232</v>
      </c>
      <c r="C73" s="2">
        <v>0.87462962963036261</v>
      </c>
      <c r="D73">
        <v>64</v>
      </c>
      <c r="E73" t="s">
        <v>15</v>
      </c>
      <c r="F73" t="s">
        <v>11</v>
      </c>
      <c r="G73">
        <v>12230</v>
      </c>
      <c r="H73" t="s">
        <v>14</v>
      </c>
      <c r="I73" t="s">
        <v>16</v>
      </c>
      <c r="J73" t="s">
        <v>36</v>
      </c>
      <c r="K73" s="1">
        <v>74.44</v>
      </c>
      <c r="L73">
        <v>4</v>
      </c>
      <c r="M73" s="1">
        <v>297.76</v>
      </c>
      <c r="N73" s="1">
        <v>227.48864</v>
      </c>
      <c r="O73" s="4">
        <v>180.972520878615</v>
      </c>
      <c r="P73" s="4">
        <v>46.5161191213842</v>
      </c>
      <c r="Q73">
        <v>1</v>
      </c>
      <c r="R73">
        <v>3</v>
      </c>
      <c r="S73">
        <v>0</v>
      </c>
      <c r="T73" t="s">
        <v>262</v>
      </c>
    </row>
    <row r="74" spans="1:20">
      <c r="A74">
        <v>40701</v>
      </c>
      <c r="B74" s="3">
        <v>45906</v>
      </c>
      <c r="C74" s="2">
        <v>0.65687500000058208</v>
      </c>
      <c r="D74">
        <v>65</v>
      </c>
      <c r="E74" t="s">
        <v>15</v>
      </c>
      <c r="F74" t="s">
        <v>30</v>
      </c>
      <c r="G74">
        <v>25511</v>
      </c>
      <c r="H74" t="s">
        <v>14</v>
      </c>
      <c r="I74" t="s">
        <v>16</v>
      </c>
      <c r="J74" t="s">
        <v>265</v>
      </c>
      <c r="K74" s="1">
        <v>125.97</v>
      </c>
      <c r="L74">
        <v>7</v>
      </c>
      <c r="M74" s="1">
        <v>881.79</v>
      </c>
      <c r="N74" s="4">
        <v>740.70359999999903</v>
      </c>
      <c r="O74" s="4">
        <v>621.91717134414</v>
      </c>
      <c r="P74" s="4">
        <v>118.786428655859</v>
      </c>
      <c r="Q74">
        <v>2</v>
      </c>
      <c r="R74">
        <v>4</v>
      </c>
      <c r="S74">
        <v>0</v>
      </c>
      <c r="T74" t="s">
        <v>262</v>
      </c>
    </row>
    <row r="75" spans="1:20">
      <c r="A75">
        <v>13903</v>
      </c>
      <c r="B75" s="3">
        <v>45484</v>
      </c>
      <c r="C75" s="2">
        <v>0.83318287037400296</v>
      </c>
      <c r="D75">
        <v>11</v>
      </c>
      <c r="E75" t="s">
        <v>15</v>
      </c>
      <c r="F75" t="s">
        <v>3</v>
      </c>
      <c r="G75">
        <v>2819</v>
      </c>
      <c r="H75" t="s">
        <v>2</v>
      </c>
      <c r="I75" t="s">
        <v>23</v>
      </c>
      <c r="J75" t="s">
        <v>39</v>
      </c>
      <c r="K75" s="1">
        <v>128.58000000000001</v>
      </c>
      <c r="L75">
        <v>0</v>
      </c>
      <c r="M75" s="1">
        <v>0</v>
      </c>
      <c r="N75" s="1">
        <v>0</v>
      </c>
      <c r="O75" s="1">
        <v>0</v>
      </c>
      <c r="P75" s="1">
        <v>0</v>
      </c>
      <c r="Q75">
        <v>3</v>
      </c>
      <c r="R75">
        <v>4</v>
      </c>
      <c r="S75">
        <v>1</v>
      </c>
      <c r="T75" t="s">
        <v>264</v>
      </c>
    </row>
    <row r="76" spans="1:20">
      <c r="A76">
        <v>31540</v>
      </c>
      <c r="B76" s="3">
        <v>45517</v>
      </c>
      <c r="C76" s="2">
        <v>0.30945601851999527</v>
      </c>
      <c r="D76">
        <v>60</v>
      </c>
      <c r="E76" t="s">
        <v>15</v>
      </c>
      <c r="F76" t="s">
        <v>7</v>
      </c>
      <c r="G76">
        <v>20375</v>
      </c>
      <c r="H76" t="s">
        <v>14</v>
      </c>
      <c r="I76" t="s">
        <v>19</v>
      </c>
      <c r="J76" t="s">
        <v>40</v>
      </c>
      <c r="K76" s="1">
        <v>62.24</v>
      </c>
      <c r="L76">
        <v>3</v>
      </c>
      <c r="M76" s="1">
        <v>186.72</v>
      </c>
      <c r="N76" s="1">
        <v>118.19376</v>
      </c>
      <c r="O76" s="1">
        <v>89.377510894278103</v>
      </c>
      <c r="P76" s="4">
        <v>28.816249105721798</v>
      </c>
      <c r="Q76">
        <v>4</v>
      </c>
      <c r="R76">
        <v>1</v>
      </c>
      <c r="S76">
        <v>0</v>
      </c>
      <c r="T76" t="s">
        <v>262</v>
      </c>
    </row>
    <row r="77" spans="1:20">
      <c r="A77">
        <v>49717</v>
      </c>
      <c r="B77" s="3">
        <v>45415</v>
      </c>
      <c r="C77" s="2">
        <v>0.18611111111385981</v>
      </c>
      <c r="D77">
        <v>7</v>
      </c>
      <c r="E77" t="s">
        <v>21</v>
      </c>
      <c r="F77" t="s">
        <v>3</v>
      </c>
      <c r="G77">
        <v>28873</v>
      </c>
      <c r="H77" t="s">
        <v>6</v>
      </c>
      <c r="I77" t="s">
        <v>19</v>
      </c>
      <c r="J77" t="s">
        <v>26</v>
      </c>
      <c r="K77" s="1">
        <v>126.61</v>
      </c>
      <c r="L77">
        <v>1</v>
      </c>
      <c r="M77" s="1">
        <v>126.61</v>
      </c>
      <c r="N77" s="1">
        <v>107.74511</v>
      </c>
      <c r="O77" s="4">
        <v>80.242159838750695</v>
      </c>
      <c r="P77" s="4">
        <v>27.502950161249199</v>
      </c>
      <c r="Q77">
        <v>9</v>
      </c>
      <c r="R77">
        <v>1</v>
      </c>
      <c r="S77">
        <v>0</v>
      </c>
      <c r="T77" t="s">
        <v>262</v>
      </c>
    </row>
    <row r="78" spans="1:20">
      <c r="A78">
        <v>49520</v>
      </c>
      <c r="B78" s="3">
        <v>45651</v>
      </c>
      <c r="C78" s="2">
        <v>0.88736111111211358</v>
      </c>
      <c r="D78">
        <v>55</v>
      </c>
      <c r="E78" t="s">
        <v>15</v>
      </c>
      <c r="F78" t="s">
        <v>7</v>
      </c>
      <c r="G78">
        <v>911</v>
      </c>
      <c r="H78" t="s">
        <v>14</v>
      </c>
      <c r="I78" t="s">
        <v>23</v>
      </c>
      <c r="J78" t="s">
        <v>34</v>
      </c>
      <c r="K78" s="1">
        <v>39.409999999999997</v>
      </c>
      <c r="L78">
        <v>4</v>
      </c>
      <c r="M78" s="1">
        <v>157.63999999999999</v>
      </c>
      <c r="N78" s="1">
        <v>119.49112</v>
      </c>
      <c r="O78" s="4">
        <v>95.675719782570994</v>
      </c>
      <c r="P78" s="4">
        <v>23.815400217428898</v>
      </c>
      <c r="Q78">
        <v>7</v>
      </c>
      <c r="R78">
        <v>1</v>
      </c>
      <c r="S78">
        <v>0</v>
      </c>
      <c r="T78" t="s">
        <v>262</v>
      </c>
    </row>
    <row r="79" spans="1:20">
      <c r="A79">
        <v>51924</v>
      </c>
      <c r="B79" s="3">
        <v>45931</v>
      </c>
      <c r="C79" s="2">
        <v>8.9247685187729076E-2</v>
      </c>
      <c r="D79">
        <v>18</v>
      </c>
      <c r="E79" t="s">
        <v>13</v>
      </c>
      <c r="F79" t="s">
        <v>7</v>
      </c>
      <c r="G79">
        <v>18062</v>
      </c>
      <c r="H79" t="s">
        <v>14</v>
      </c>
      <c r="I79" t="s">
        <v>16</v>
      </c>
      <c r="J79" t="s">
        <v>24</v>
      </c>
      <c r="K79" s="1">
        <v>85.89</v>
      </c>
      <c r="L79">
        <v>3</v>
      </c>
      <c r="M79" s="1">
        <v>257.67</v>
      </c>
      <c r="N79" s="1">
        <v>187.06842</v>
      </c>
      <c r="O79" s="4">
        <v>137.745813578293</v>
      </c>
      <c r="P79" s="4">
        <v>49.322606421705999</v>
      </c>
      <c r="Q79">
        <v>1</v>
      </c>
      <c r="R79">
        <v>2</v>
      </c>
      <c r="S79">
        <v>0</v>
      </c>
      <c r="T79" t="s">
        <v>262</v>
      </c>
    </row>
    <row r="80" spans="1:20">
      <c r="A80">
        <v>3503</v>
      </c>
      <c r="B80" s="3">
        <v>45951</v>
      </c>
      <c r="C80" s="2">
        <v>4.4143518520286307E-2</v>
      </c>
      <c r="D80">
        <v>28</v>
      </c>
      <c r="E80" t="s">
        <v>15</v>
      </c>
      <c r="F80" t="s">
        <v>11</v>
      </c>
      <c r="G80">
        <v>552</v>
      </c>
      <c r="H80" t="s">
        <v>14</v>
      </c>
      <c r="I80" t="s">
        <v>9</v>
      </c>
      <c r="J80" t="s">
        <v>32</v>
      </c>
      <c r="K80" s="1">
        <v>16.7</v>
      </c>
      <c r="L80">
        <v>1</v>
      </c>
      <c r="M80" s="1">
        <v>16.7</v>
      </c>
      <c r="N80" s="1">
        <v>15.0634</v>
      </c>
      <c r="O80" s="4">
        <v>11.384623919698299</v>
      </c>
      <c r="P80" s="4">
        <v>3.6787760803016498</v>
      </c>
      <c r="Q80">
        <v>4</v>
      </c>
      <c r="R80">
        <v>2</v>
      </c>
      <c r="S80">
        <v>0</v>
      </c>
      <c r="T80" t="s">
        <v>262</v>
      </c>
    </row>
    <row r="81" spans="1:20">
      <c r="A81">
        <v>39337</v>
      </c>
      <c r="B81" s="3">
        <v>45537</v>
      </c>
      <c r="C81" s="2">
        <v>0.24019675925956108</v>
      </c>
      <c r="D81">
        <v>64</v>
      </c>
      <c r="E81" t="s">
        <v>15</v>
      </c>
      <c r="F81" t="s">
        <v>11</v>
      </c>
      <c r="G81">
        <v>8403</v>
      </c>
      <c r="H81" t="s">
        <v>14</v>
      </c>
      <c r="I81" t="s">
        <v>9</v>
      </c>
      <c r="J81" t="s">
        <v>32</v>
      </c>
      <c r="K81" s="1">
        <v>107.82</v>
      </c>
      <c r="L81">
        <v>8</v>
      </c>
      <c r="M81" s="1">
        <v>862.56</v>
      </c>
      <c r="N81" s="1">
        <v>779.75423999999998</v>
      </c>
      <c r="O81" s="4">
        <v>531.57032907531902</v>
      </c>
      <c r="P81" s="4">
        <v>248.18391092467999</v>
      </c>
      <c r="Q81">
        <v>3</v>
      </c>
      <c r="R81">
        <v>1</v>
      </c>
      <c r="S81">
        <v>0</v>
      </c>
      <c r="T81" t="s">
        <v>262</v>
      </c>
    </row>
    <row r="82" spans="1:20">
      <c r="A82">
        <v>2219</v>
      </c>
      <c r="B82" s="3">
        <v>45718</v>
      </c>
      <c r="C82" s="2">
        <v>0.92115740740700858</v>
      </c>
      <c r="D82">
        <v>34</v>
      </c>
      <c r="E82" t="s">
        <v>33</v>
      </c>
      <c r="F82" t="s">
        <v>7</v>
      </c>
      <c r="G82">
        <v>27443</v>
      </c>
      <c r="H82" t="s">
        <v>14</v>
      </c>
      <c r="I82" t="s">
        <v>9</v>
      </c>
      <c r="J82" t="s">
        <v>37</v>
      </c>
      <c r="K82" s="1">
        <v>44.67</v>
      </c>
      <c r="L82">
        <v>3</v>
      </c>
      <c r="M82" s="1">
        <v>134.01</v>
      </c>
      <c r="N82" s="4">
        <v>129.18563999999901</v>
      </c>
      <c r="O82" s="1" t="s">
        <v>263</v>
      </c>
      <c r="P82" s="1" t="s">
        <v>263</v>
      </c>
      <c r="Q82">
        <v>1</v>
      </c>
      <c r="R82">
        <v>1</v>
      </c>
      <c r="S82" t="s">
        <v>263</v>
      </c>
      <c r="T82" t="s">
        <v>264</v>
      </c>
    </row>
    <row r="83" spans="1:20">
      <c r="A83">
        <v>18506</v>
      </c>
      <c r="B83" s="3">
        <v>44957</v>
      </c>
      <c r="C83" s="2">
        <v>0.32462962962745223</v>
      </c>
      <c r="D83">
        <v>19</v>
      </c>
      <c r="E83" t="s">
        <v>15</v>
      </c>
      <c r="F83" t="s">
        <v>7</v>
      </c>
      <c r="G83">
        <v>4745</v>
      </c>
      <c r="H83" t="s">
        <v>14</v>
      </c>
      <c r="I83" t="s">
        <v>23</v>
      </c>
      <c r="J83" t="s">
        <v>22</v>
      </c>
      <c r="K83" s="1">
        <v>32.26</v>
      </c>
      <c r="L83">
        <v>6</v>
      </c>
      <c r="M83" s="1">
        <v>193.56</v>
      </c>
      <c r="N83" s="1">
        <v>92.521680000000003</v>
      </c>
      <c r="O83" s="1">
        <v>69.292445472787406</v>
      </c>
      <c r="P83" s="4">
        <v>23.229234527212501</v>
      </c>
      <c r="Q83">
        <v>2</v>
      </c>
      <c r="R83">
        <v>1</v>
      </c>
      <c r="S83">
        <v>0</v>
      </c>
      <c r="T83" t="s">
        <v>262</v>
      </c>
    </row>
    <row r="84" spans="1:20">
      <c r="A84">
        <v>10690</v>
      </c>
      <c r="B84" s="3">
        <v>45763</v>
      </c>
      <c r="C84" s="2">
        <v>0.114502314812853</v>
      </c>
      <c r="D84">
        <v>36</v>
      </c>
      <c r="E84" t="s">
        <v>21</v>
      </c>
      <c r="F84" t="s">
        <v>11</v>
      </c>
      <c r="G84">
        <v>7762</v>
      </c>
      <c r="H84" t="s">
        <v>2</v>
      </c>
      <c r="I84" t="s">
        <v>23</v>
      </c>
      <c r="J84" t="s">
        <v>25</v>
      </c>
      <c r="K84" s="1">
        <v>100.38</v>
      </c>
      <c r="L84">
        <v>1</v>
      </c>
      <c r="M84" s="1">
        <v>100.38</v>
      </c>
      <c r="N84" s="1">
        <v>96.063659999999999</v>
      </c>
      <c r="O84" s="4">
        <v>71.013377759880299</v>
      </c>
      <c r="P84" s="4">
        <v>25.0502822401196</v>
      </c>
      <c r="Q84">
        <v>2</v>
      </c>
      <c r="R84">
        <v>5</v>
      </c>
      <c r="S84">
        <v>0</v>
      </c>
      <c r="T84" t="s">
        <v>262</v>
      </c>
    </row>
    <row r="85" spans="1:20">
      <c r="A85">
        <v>21378</v>
      </c>
      <c r="B85" s="3">
        <v>44935</v>
      </c>
      <c r="C85" s="2">
        <v>0.43855324073956581</v>
      </c>
      <c r="D85">
        <v>37</v>
      </c>
      <c r="E85" t="s">
        <v>15</v>
      </c>
      <c r="F85" t="s">
        <v>11</v>
      </c>
      <c r="G85">
        <v>6675</v>
      </c>
      <c r="H85" t="s">
        <v>14</v>
      </c>
      <c r="I85" t="s">
        <v>16</v>
      </c>
      <c r="J85" t="s">
        <v>36</v>
      </c>
      <c r="K85" s="1">
        <v>225.45</v>
      </c>
      <c r="L85">
        <v>4</v>
      </c>
      <c r="M85" s="1">
        <v>901.8</v>
      </c>
      <c r="N85" s="1">
        <v>836.87040000000002</v>
      </c>
      <c r="O85" s="1" t="s">
        <v>263</v>
      </c>
      <c r="P85" s="1" t="s">
        <v>263</v>
      </c>
      <c r="Q85">
        <v>2</v>
      </c>
      <c r="R85">
        <v>2</v>
      </c>
      <c r="S85">
        <v>1</v>
      </c>
      <c r="T85" t="s">
        <v>264</v>
      </c>
    </row>
    <row r="86" spans="1:20">
      <c r="A86">
        <v>1867</v>
      </c>
      <c r="B86" s="3">
        <v>45740</v>
      </c>
      <c r="C86" s="2">
        <v>0.20350694444641704</v>
      </c>
      <c r="D86">
        <v>57</v>
      </c>
      <c r="E86" t="s">
        <v>15</v>
      </c>
      <c r="F86" t="s">
        <v>7</v>
      </c>
      <c r="G86">
        <v>27284</v>
      </c>
      <c r="H86" t="s">
        <v>14</v>
      </c>
      <c r="I86" t="s">
        <v>9</v>
      </c>
      <c r="J86" t="s">
        <v>37</v>
      </c>
      <c r="K86" s="1">
        <v>28.51</v>
      </c>
      <c r="L86">
        <v>3</v>
      </c>
      <c r="M86" s="1">
        <v>85.53</v>
      </c>
      <c r="N86" s="4">
        <v>69.706949999999907</v>
      </c>
      <c r="O86" s="4">
        <v>49.6419523944475</v>
      </c>
      <c r="P86" s="4">
        <v>20.064997605552399</v>
      </c>
      <c r="Q86">
        <v>3</v>
      </c>
      <c r="R86">
        <v>5</v>
      </c>
      <c r="S86">
        <v>0</v>
      </c>
      <c r="T86" t="s">
        <v>262</v>
      </c>
    </row>
    <row r="87" spans="1:20">
      <c r="A87">
        <v>20193</v>
      </c>
      <c r="B87" s="3">
        <v>45675</v>
      </c>
      <c r="C87" s="2">
        <v>0.59295138889137888</v>
      </c>
      <c r="D87">
        <v>73</v>
      </c>
      <c r="E87" t="s">
        <v>21</v>
      </c>
      <c r="F87" t="s">
        <v>11</v>
      </c>
      <c r="G87">
        <v>19058</v>
      </c>
      <c r="H87" t="s">
        <v>2</v>
      </c>
      <c r="I87" t="s">
        <v>23</v>
      </c>
      <c r="J87" t="s">
        <v>34</v>
      </c>
      <c r="K87" s="1">
        <v>49.03</v>
      </c>
      <c r="L87">
        <v>4</v>
      </c>
      <c r="M87" s="1">
        <v>196.12</v>
      </c>
      <c r="N87" s="4">
        <v>140.22579999999999</v>
      </c>
      <c r="O87" s="4">
        <v>95.573588458153196</v>
      </c>
      <c r="P87" s="4">
        <v>44.652211541846697</v>
      </c>
      <c r="Q87">
        <v>4</v>
      </c>
      <c r="R87">
        <v>4</v>
      </c>
      <c r="S87">
        <v>0</v>
      </c>
      <c r="T87" t="s">
        <v>262</v>
      </c>
    </row>
    <row r="88" spans="1:20">
      <c r="A88">
        <v>28871</v>
      </c>
      <c r="B88" s="3">
        <v>45896</v>
      </c>
      <c r="C88" s="2">
        <v>0.53052083333022892</v>
      </c>
      <c r="D88">
        <v>79</v>
      </c>
      <c r="E88" t="s">
        <v>33</v>
      </c>
      <c r="F88" t="s">
        <v>7</v>
      </c>
      <c r="G88">
        <v>623</v>
      </c>
      <c r="H88" t="s">
        <v>14</v>
      </c>
      <c r="I88" t="s">
        <v>1</v>
      </c>
      <c r="J88" t="s">
        <v>265</v>
      </c>
      <c r="K88" s="1">
        <v>99.65</v>
      </c>
      <c r="L88">
        <v>4</v>
      </c>
      <c r="M88" s="1">
        <v>398.6</v>
      </c>
      <c r="N88" s="1">
        <v>263.8732</v>
      </c>
      <c r="O88" s="1" t="s">
        <v>263</v>
      </c>
      <c r="P88" s="1" t="s">
        <v>263</v>
      </c>
      <c r="Q88">
        <v>5</v>
      </c>
      <c r="R88">
        <v>5</v>
      </c>
      <c r="S88">
        <v>0</v>
      </c>
      <c r="T88" t="s">
        <v>264</v>
      </c>
    </row>
    <row r="89" spans="1:20">
      <c r="A89">
        <v>52204</v>
      </c>
      <c r="B89" s="3">
        <v>45067</v>
      </c>
      <c r="C89" s="2">
        <v>0.49212962963065365</v>
      </c>
      <c r="D89">
        <v>34</v>
      </c>
      <c r="E89" t="s">
        <v>15</v>
      </c>
      <c r="F89" t="s">
        <v>11</v>
      </c>
      <c r="G89">
        <v>16662</v>
      </c>
      <c r="H89" t="s">
        <v>2</v>
      </c>
      <c r="I89" t="s">
        <v>1</v>
      </c>
      <c r="J89" t="s">
        <v>38</v>
      </c>
      <c r="K89" s="1">
        <v>121.31</v>
      </c>
      <c r="L89">
        <v>3</v>
      </c>
      <c r="M89" s="1">
        <v>363.93</v>
      </c>
      <c r="N89" s="1">
        <v>271.49178000000001</v>
      </c>
      <c r="O89" s="4">
        <v>197.09633110060699</v>
      </c>
      <c r="P89" s="4">
        <v>74.395448899391994</v>
      </c>
      <c r="Q89">
        <v>7</v>
      </c>
      <c r="R89">
        <v>5</v>
      </c>
      <c r="S89">
        <v>0</v>
      </c>
      <c r="T89" t="s">
        <v>262</v>
      </c>
    </row>
    <row r="90" spans="1:20">
      <c r="A90">
        <v>3868</v>
      </c>
      <c r="B90" s="3">
        <v>45561</v>
      </c>
      <c r="C90" s="2">
        <v>0.76365740740584442</v>
      </c>
      <c r="D90">
        <v>42</v>
      </c>
      <c r="E90" t="s">
        <v>13</v>
      </c>
      <c r="F90" t="s">
        <v>11</v>
      </c>
      <c r="G90">
        <v>28145</v>
      </c>
      <c r="H90" t="s">
        <v>6</v>
      </c>
      <c r="I90" t="s">
        <v>9</v>
      </c>
      <c r="J90" t="s">
        <v>32</v>
      </c>
      <c r="K90" s="1">
        <v>16.82</v>
      </c>
      <c r="L90">
        <v>2</v>
      </c>
      <c r="M90" s="1">
        <v>33.64</v>
      </c>
      <c r="N90" s="1">
        <v>29.098600000000001</v>
      </c>
      <c r="O90" s="4">
        <v>19.598308866312401</v>
      </c>
      <c r="P90" s="1">
        <v>9.5002911336875897</v>
      </c>
      <c r="Q90">
        <v>3</v>
      </c>
      <c r="R90">
        <v>3</v>
      </c>
      <c r="S90">
        <v>1</v>
      </c>
      <c r="T90" t="s">
        <v>262</v>
      </c>
    </row>
    <row r="91" spans="1:20">
      <c r="A91">
        <v>3223</v>
      </c>
      <c r="B91" s="3">
        <v>45382</v>
      </c>
      <c r="C91" s="2">
        <v>0.46011574073781958</v>
      </c>
      <c r="D91">
        <v>29</v>
      </c>
      <c r="E91" t="s">
        <v>13</v>
      </c>
      <c r="F91" t="s">
        <v>30</v>
      </c>
      <c r="G91">
        <v>21240</v>
      </c>
      <c r="H91" t="s">
        <v>2</v>
      </c>
      <c r="I91" t="s">
        <v>23</v>
      </c>
      <c r="J91" t="s">
        <v>25</v>
      </c>
      <c r="K91" s="1">
        <v>75.959999999999994</v>
      </c>
      <c r="L91">
        <v>2</v>
      </c>
      <c r="M91" s="1">
        <v>151.91999999999999</v>
      </c>
      <c r="N91" s="1">
        <v>87.657839999999993</v>
      </c>
      <c r="O91" s="4">
        <v>54.417440992483698</v>
      </c>
      <c r="P91" s="4">
        <v>33.240399007516203</v>
      </c>
      <c r="Q91">
        <v>9</v>
      </c>
      <c r="R91">
        <v>5</v>
      </c>
      <c r="S91">
        <v>0</v>
      </c>
      <c r="T91" t="s">
        <v>262</v>
      </c>
    </row>
    <row r="92" spans="1:20">
      <c r="A92">
        <v>21786</v>
      </c>
      <c r="B92" s="3">
        <v>45472</v>
      </c>
      <c r="C92" s="2">
        <v>0.90747685185488081</v>
      </c>
      <c r="D92">
        <v>48</v>
      </c>
      <c r="E92" t="s">
        <v>21</v>
      </c>
      <c r="F92" t="s">
        <v>30</v>
      </c>
      <c r="G92">
        <v>14264</v>
      </c>
      <c r="H92" t="s">
        <v>14</v>
      </c>
      <c r="I92" t="s">
        <v>23</v>
      </c>
      <c r="J92" t="s">
        <v>25</v>
      </c>
      <c r="K92" s="1">
        <v>32.43</v>
      </c>
      <c r="L92">
        <v>2</v>
      </c>
      <c r="M92" s="1">
        <v>64.86</v>
      </c>
      <c r="N92" s="1">
        <v>50.007060000000003</v>
      </c>
      <c r="O92" s="4">
        <v>33.087060177590097</v>
      </c>
      <c r="P92" s="1">
        <v>16.919999822409899</v>
      </c>
      <c r="Q92">
        <v>1</v>
      </c>
      <c r="R92">
        <v>3</v>
      </c>
      <c r="S92">
        <v>0</v>
      </c>
      <c r="T92" t="s">
        <v>262</v>
      </c>
    </row>
    <row r="93" spans="1:20">
      <c r="A93">
        <v>20985</v>
      </c>
      <c r="B93" s="3">
        <v>45751</v>
      </c>
      <c r="C93" s="2">
        <v>0.51487268518394558</v>
      </c>
      <c r="D93">
        <v>23</v>
      </c>
      <c r="E93" t="s">
        <v>15</v>
      </c>
      <c r="F93" t="s">
        <v>3</v>
      </c>
      <c r="G93">
        <v>26498</v>
      </c>
      <c r="H93" t="s">
        <v>2</v>
      </c>
      <c r="I93" t="s">
        <v>23</v>
      </c>
      <c r="J93" t="s">
        <v>34</v>
      </c>
      <c r="K93" s="1">
        <v>63.07</v>
      </c>
      <c r="L93">
        <v>0</v>
      </c>
      <c r="M93" s="1">
        <v>0</v>
      </c>
      <c r="N93" s="1">
        <v>0</v>
      </c>
      <c r="O93" s="1">
        <v>0</v>
      </c>
      <c r="P93" s="1">
        <v>0</v>
      </c>
      <c r="Q93">
        <v>8</v>
      </c>
      <c r="R93">
        <v>1</v>
      </c>
      <c r="S93">
        <v>0</v>
      </c>
      <c r="T93" t="s">
        <v>264</v>
      </c>
    </row>
    <row r="94" spans="1:20">
      <c r="A94">
        <v>48540</v>
      </c>
      <c r="B94" s="3">
        <v>44933</v>
      </c>
      <c r="C94" s="2">
        <v>0.76033564814861165</v>
      </c>
      <c r="D94">
        <v>66</v>
      </c>
      <c r="E94" t="s">
        <v>13</v>
      </c>
      <c r="F94" t="s">
        <v>11</v>
      </c>
      <c r="G94">
        <v>15160</v>
      </c>
      <c r="H94" t="s">
        <v>2</v>
      </c>
      <c r="I94" t="s">
        <v>1</v>
      </c>
      <c r="J94" t="s">
        <v>5</v>
      </c>
      <c r="K94" s="1">
        <v>51.57</v>
      </c>
      <c r="L94">
        <v>1</v>
      </c>
      <c r="M94" s="1">
        <v>51.57</v>
      </c>
      <c r="N94" s="4">
        <v>42.545249999999903</v>
      </c>
      <c r="O94" s="4">
        <v>25.945819578105802</v>
      </c>
      <c r="P94" s="4">
        <v>16.599430421894098</v>
      </c>
      <c r="Q94">
        <v>6</v>
      </c>
      <c r="R94">
        <v>3</v>
      </c>
      <c r="S94">
        <v>0</v>
      </c>
      <c r="T94" t="s">
        <v>262</v>
      </c>
    </row>
    <row r="95" spans="1:20">
      <c r="A95">
        <v>40695</v>
      </c>
      <c r="B95" s="3">
        <v>45415</v>
      </c>
      <c r="C95" s="2">
        <v>0.44217592592758592</v>
      </c>
      <c r="D95">
        <v>22</v>
      </c>
      <c r="E95" t="s">
        <v>15</v>
      </c>
      <c r="F95" t="s">
        <v>7</v>
      </c>
      <c r="G95">
        <v>6719</v>
      </c>
      <c r="H95" t="s">
        <v>14</v>
      </c>
      <c r="I95" t="s">
        <v>16</v>
      </c>
      <c r="J95" t="s">
        <v>29</v>
      </c>
      <c r="K95" s="1">
        <v>145.08000000000001</v>
      </c>
      <c r="L95">
        <v>2</v>
      </c>
      <c r="M95" s="1">
        <v>290.16000000000003</v>
      </c>
      <c r="N95" s="1">
        <v>128.83104</v>
      </c>
      <c r="O95" s="1" t="s">
        <v>263</v>
      </c>
      <c r="P95" s="1" t="s">
        <v>263</v>
      </c>
      <c r="Q95">
        <v>4</v>
      </c>
      <c r="R95">
        <v>2</v>
      </c>
      <c r="S95">
        <v>0</v>
      </c>
      <c r="T95" t="s">
        <v>264</v>
      </c>
    </row>
    <row r="96" spans="1:20">
      <c r="A96">
        <v>8441</v>
      </c>
      <c r="B96" s="3">
        <v>45855</v>
      </c>
      <c r="C96" s="2">
        <v>1.0405092594737653E-2</v>
      </c>
      <c r="D96">
        <v>18</v>
      </c>
      <c r="E96" t="s">
        <v>15</v>
      </c>
      <c r="F96" t="s">
        <v>30</v>
      </c>
      <c r="G96">
        <v>4600</v>
      </c>
      <c r="H96" t="s">
        <v>14</v>
      </c>
      <c r="I96" t="s">
        <v>19</v>
      </c>
      <c r="J96" t="s">
        <v>18</v>
      </c>
      <c r="K96" s="1">
        <v>89.42</v>
      </c>
      <c r="L96">
        <v>1</v>
      </c>
      <c r="M96" s="1">
        <v>89.42</v>
      </c>
      <c r="N96" s="1">
        <v>77.974239999999995</v>
      </c>
      <c r="O96" s="4">
        <v>55.863892927728898</v>
      </c>
      <c r="P96" s="4">
        <v>22.110347072271001</v>
      </c>
      <c r="Q96">
        <v>1</v>
      </c>
      <c r="R96">
        <v>1</v>
      </c>
      <c r="S96">
        <v>0</v>
      </c>
      <c r="T96" t="s">
        <v>262</v>
      </c>
    </row>
    <row r="97" spans="1:20">
      <c r="A97">
        <v>9952</v>
      </c>
      <c r="B97" s="3">
        <v>45908</v>
      </c>
      <c r="C97" s="2">
        <v>1.9525462965248153E-2</v>
      </c>
      <c r="D97">
        <v>71</v>
      </c>
      <c r="E97" t="s">
        <v>21</v>
      </c>
      <c r="F97" t="s">
        <v>7</v>
      </c>
      <c r="G97">
        <v>6854</v>
      </c>
      <c r="H97" t="s">
        <v>14</v>
      </c>
      <c r="I97" t="s">
        <v>1</v>
      </c>
      <c r="J97" t="s">
        <v>265</v>
      </c>
      <c r="K97" s="1">
        <v>65.95</v>
      </c>
      <c r="L97">
        <v>4</v>
      </c>
      <c r="M97" s="1">
        <v>263.8</v>
      </c>
      <c r="N97" s="1">
        <v>205.2364</v>
      </c>
      <c r="O97" s="1" t="s">
        <v>263</v>
      </c>
      <c r="P97" s="1" t="s">
        <v>263</v>
      </c>
      <c r="Q97">
        <v>9</v>
      </c>
      <c r="R97">
        <v>1</v>
      </c>
      <c r="S97">
        <v>0</v>
      </c>
      <c r="T97" t="s">
        <v>264</v>
      </c>
    </row>
    <row r="98" spans="1:20">
      <c r="A98">
        <v>1335</v>
      </c>
      <c r="B98" s="3">
        <v>45481</v>
      </c>
      <c r="C98" s="2">
        <v>0.81273148148466134</v>
      </c>
      <c r="D98">
        <v>83</v>
      </c>
      <c r="E98" t="s">
        <v>21</v>
      </c>
      <c r="F98" t="s">
        <v>11</v>
      </c>
      <c r="G98">
        <v>21466</v>
      </c>
      <c r="H98" t="s">
        <v>6</v>
      </c>
      <c r="I98" t="s">
        <v>1</v>
      </c>
      <c r="J98" t="s">
        <v>38</v>
      </c>
      <c r="K98" s="1">
        <v>47.77</v>
      </c>
      <c r="L98">
        <v>3</v>
      </c>
      <c r="M98" s="1">
        <v>143.31</v>
      </c>
      <c r="N98" s="1">
        <v>122.95998</v>
      </c>
      <c r="O98" s="4">
        <v>89.134804713860106</v>
      </c>
      <c r="P98" s="4">
        <v>33.825175286139803</v>
      </c>
      <c r="Q98">
        <v>2</v>
      </c>
      <c r="R98" t="s">
        <v>263</v>
      </c>
      <c r="S98">
        <v>0</v>
      </c>
      <c r="T98" t="s">
        <v>262</v>
      </c>
    </row>
    <row r="99" spans="1:20">
      <c r="A99">
        <v>32573</v>
      </c>
      <c r="B99" s="3">
        <v>45415</v>
      </c>
      <c r="C99" s="2">
        <v>0.51364583333634073</v>
      </c>
      <c r="D99">
        <v>2</v>
      </c>
      <c r="E99" t="s">
        <v>15</v>
      </c>
      <c r="F99" t="s">
        <v>7</v>
      </c>
      <c r="G99">
        <v>9211</v>
      </c>
      <c r="H99" t="s">
        <v>14</v>
      </c>
      <c r="I99" t="s">
        <v>23</v>
      </c>
      <c r="J99" t="s">
        <v>265</v>
      </c>
      <c r="K99" s="1">
        <v>55.24</v>
      </c>
      <c r="L99">
        <v>4</v>
      </c>
      <c r="M99" s="1">
        <v>220.96</v>
      </c>
      <c r="N99" s="4">
        <v>121.08608</v>
      </c>
      <c r="O99" s="4">
        <v>95.585900627328201</v>
      </c>
      <c r="P99" s="4">
        <v>25.500179372671699</v>
      </c>
      <c r="Q99">
        <v>1</v>
      </c>
      <c r="R99">
        <v>5</v>
      </c>
      <c r="S99">
        <v>0</v>
      </c>
      <c r="T99" t="s">
        <v>262</v>
      </c>
    </row>
    <row r="100" spans="1:20">
      <c r="A100">
        <v>28345</v>
      </c>
      <c r="B100" s="3">
        <v>45346</v>
      </c>
      <c r="C100" s="2">
        <v>0.14413194444205146</v>
      </c>
      <c r="D100">
        <v>15</v>
      </c>
      <c r="E100" t="s">
        <v>15</v>
      </c>
      <c r="F100" t="s">
        <v>3</v>
      </c>
      <c r="G100">
        <v>132</v>
      </c>
      <c r="H100" t="s">
        <v>14</v>
      </c>
      <c r="I100" t="s">
        <v>9</v>
      </c>
      <c r="J100" t="s">
        <v>32</v>
      </c>
      <c r="K100" s="1">
        <v>90.74</v>
      </c>
      <c r="L100">
        <v>0</v>
      </c>
      <c r="M100" s="1">
        <v>0</v>
      </c>
      <c r="N100" s="1">
        <v>0</v>
      </c>
      <c r="O100" s="1">
        <v>0</v>
      </c>
      <c r="P100" s="1">
        <v>0</v>
      </c>
      <c r="Q100">
        <v>4</v>
      </c>
      <c r="R100">
        <v>5</v>
      </c>
      <c r="S100">
        <v>0</v>
      </c>
      <c r="T100" t="s">
        <v>264</v>
      </c>
    </row>
    <row r="101" spans="1:20">
      <c r="A101">
        <v>46504</v>
      </c>
      <c r="B101" s="3">
        <v>45841</v>
      </c>
      <c r="C101" s="2">
        <v>1.2604166666278616E-2</v>
      </c>
      <c r="D101">
        <v>67</v>
      </c>
      <c r="E101" t="s">
        <v>13</v>
      </c>
      <c r="F101" t="s">
        <v>11</v>
      </c>
      <c r="G101">
        <v>308</v>
      </c>
      <c r="H101" t="s">
        <v>6</v>
      </c>
      <c r="I101" t="s">
        <v>9</v>
      </c>
      <c r="J101" t="s">
        <v>32</v>
      </c>
      <c r="K101" s="1">
        <v>113.21</v>
      </c>
      <c r="L101">
        <v>1</v>
      </c>
      <c r="M101" s="1">
        <v>113.21</v>
      </c>
      <c r="N101" s="1">
        <v>70.416619999999995</v>
      </c>
      <c r="O101" s="4">
        <v>47.649710188434497</v>
      </c>
      <c r="P101" s="4">
        <v>22.766909811565402</v>
      </c>
      <c r="Q101">
        <v>1</v>
      </c>
      <c r="R101">
        <v>2</v>
      </c>
      <c r="S101">
        <v>1</v>
      </c>
      <c r="T101" t="s">
        <v>262</v>
      </c>
    </row>
    <row r="102" spans="1:20">
      <c r="A102">
        <v>34483</v>
      </c>
      <c r="B102" s="3">
        <v>45185</v>
      </c>
      <c r="C102" s="2">
        <v>0.94865740741079208</v>
      </c>
      <c r="D102">
        <v>20</v>
      </c>
      <c r="E102" t="s">
        <v>13</v>
      </c>
      <c r="F102" t="s">
        <v>11</v>
      </c>
      <c r="G102">
        <v>20769</v>
      </c>
      <c r="H102" t="s">
        <v>14</v>
      </c>
      <c r="I102" t="s">
        <v>19</v>
      </c>
      <c r="J102" t="s">
        <v>20</v>
      </c>
      <c r="K102" s="1">
        <v>30.66</v>
      </c>
      <c r="L102">
        <v>4</v>
      </c>
      <c r="M102" s="1">
        <v>122.64</v>
      </c>
      <c r="N102" s="4">
        <v>85.602719999999906</v>
      </c>
      <c r="O102" s="4">
        <v>59.448660372888099</v>
      </c>
      <c r="P102" s="4">
        <v>26.154059627111799</v>
      </c>
      <c r="Q102">
        <v>2</v>
      </c>
      <c r="R102" t="s">
        <v>263</v>
      </c>
      <c r="S102" t="s">
        <v>263</v>
      </c>
      <c r="T102" t="s">
        <v>262</v>
      </c>
    </row>
    <row r="103" spans="1:20">
      <c r="A103">
        <v>36272</v>
      </c>
      <c r="B103" s="3">
        <v>45193</v>
      </c>
      <c r="C103" s="2">
        <v>0.57714120370656019</v>
      </c>
      <c r="D103">
        <v>17</v>
      </c>
      <c r="E103" t="s">
        <v>33</v>
      </c>
      <c r="F103" t="s">
        <v>30</v>
      </c>
      <c r="G103">
        <v>6008</v>
      </c>
      <c r="H103" t="s">
        <v>14</v>
      </c>
      <c r="I103" t="s">
        <v>23</v>
      </c>
      <c r="J103" t="s">
        <v>34</v>
      </c>
      <c r="K103" s="1">
        <v>38.090000000000003</v>
      </c>
      <c r="L103">
        <v>5</v>
      </c>
      <c r="M103" s="4">
        <v>190.45</v>
      </c>
      <c r="N103" s="1">
        <v>164.35835</v>
      </c>
      <c r="O103" s="4">
        <v>132.72371674891801</v>
      </c>
      <c r="P103" s="4">
        <v>31.634633251081599</v>
      </c>
      <c r="Q103">
        <v>8</v>
      </c>
      <c r="R103">
        <v>2</v>
      </c>
      <c r="S103">
        <v>0</v>
      </c>
      <c r="T103" t="s">
        <v>262</v>
      </c>
    </row>
    <row r="104" spans="1:20">
      <c r="A104">
        <v>36875</v>
      </c>
      <c r="B104" s="3">
        <v>45596</v>
      </c>
      <c r="C104" s="2">
        <v>0.17021990740613546</v>
      </c>
      <c r="D104">
        <v>55</v>
      </c>
      <c r="E104" t="s">
        <v>21</v>
      </c>
      <c r="F104" t="s">
        <v>30</v>
      </c>
      <c r="G104">
        <v>8389</v>
      </c>
      <c r="H104" t="s">
        <v>2</v>
      </c>
      <c r="I104" t="s">
        <v>23</v>
      </c>
      <c r="J104" t="s">
        <v>39</v>
      </c>
      <c r="K104" s="1">
        <v>59.8</v>
      </c>
      <c r="L104">
        <v>3</v>
      </c>
      <c r="M104" s="4">
        <v>179.39999999999901</v>
      </c>
      <c r="N104" s="4">
        <v>152.48999999999899</v>
      </c>
      <c r="O104" s="4">
        <v>117.76848514408</v>
      </c>
      <c r="P104" s="4">
        <v>34.7215148559198</v>
      </c>
      <c r="Q104">
        <v>6</v>
      </c>
      <c r="R104">
        <v>3</v>
      </c>
      <c r="S104">
        <v>0</v>
      </c>
      <c r="T104" t="s">
        <v>262</v>
      </c>
    </row>
    <row r="105" spans="1:20">
      <c r="A105">
        <v>11513</v>
      </c>
      <c r="B105" s="3">
        <v>45341</v>
      </c>
      <c r="C105" s="2">
        <v>0.61033564814715646</v>
      </c>
      <c r="D105">
        <v>37</v>
      </c>
      <c r="E105" t="s">
        <v>33</v>
      </c>
      <c r="F105" t="s">
        <v>3</v>
      </c>
      <c r="G105">
        <v>8402</v>
      </c>
      <c r="H105" t="s">
        <v>14</v>
      </c>
      <c r="I105" t="s">
        <v>23</v>
      </c>
      <c r="J105" t="s">
        <v>22</v>
      </c>
      <c r="K105" s="1">
        <v>46.61</v>
      </c>
      <c r="L105">
        <v>1</v>
      </c>
      <c r="M105" s="1">
        <v>46.61</v>
      </c>
      <c r="N105" s="1">
        <v>38.313420000000001</v>
      </c>
      <c r="O105" s="4">
        <v>31.758018188892699</v>
      </c>
      <c r="P105" s="1">
        <v>6.5554018111072203</v>
      </c>
      <c r="Q105">
        <v>3</v>
      </c>
      <c r="R105">
        <v>2</v>
      </c>
      <c r="S105">
        <v>0</v>
      </c>
      <c r="T105" t="s">
        <v>262</v>
      </c>
    </row>
    <row r="106" spans="1:20">
      <c r="A106">
        <v>23848</v>
      </c>
      <c r="B106" s="3">
        <v>45482</v>
      </c>
      <c r="C106" s="2">
        <v>0.35811342592933215</v>
      </c>
      <c r="D106">
        <v>23</v>
      </c>
      <c r="E106" t="s">
        <v>33</v>
      </c>
      <c r="F106" t="s">
        <v>11</v>
      </c>
      <c r="G106">
        <v>20602</v>
      </c>
      <c r="H106" t="s">
        <v>14</v>
      </c>
      <c r="I106" t="s">
        <v>23</v>
      </c>
      <c r="J106" t="s">
        <v>25</v>
      </c>
      <c r="K106" s="1">
        <v>62.79</v>
      </c>
      <c r="L106">
        <v>4</v>
      </c>
      <c r="M106" s="1">
        <v>251.16</v>
      </c>
      <c r="N106" s="1">
        <v>205.44888</v>
      </c>
      <c r="O106" s="4">
        <v>162.01946405674801</v>
      </c>
      <c r="P106" s="4">
        <v>43.4294159432512</v>
      </c>
      <c r="Q106">
        <v>9</v>
      </c>
      <c r="R106">
        <v>2</v>
      </c>
      <c r="S106" t="s">
        <v>263</v>
      </c>
      <c r="T106" t="s">
        <v>262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249CE-0E6A-4AEB-A873-9C03A6AC833C}">
  <dimension ref="A1:Q101"/>
  <sheetViews>
    <sheetView workbookViewId="0">
      <selection activeCell="D100" sqref="D100"/>
    </sheetView>
  </sheetViews>
  <sheetFormatPr defaultRowHeight="14.4"/>
  <cols>
    <col min="1" max="1" width="9.77734375" customWidth="1"/>
    <col min="2" max="2" width="20.88671875" bestFit="1" customWidth="1"/>
    <col min="3" max="3" width="9.5546875" customWidth="1"/>
    <col min="4" max="4" width="9" bestFit="1" customWidth="1"/>
    <col min="5" max="5" width="9.77734375" bestFit="1" customWidth="1"/>
    <col min="6" max="6" width="13.109375" bestFit="1" customWidth="1"/>
    <col min="7" max="7" width="18.6640625" customWidth="1"/>
    <col min="8" max="8" width="10.109375" bestFit="1" customWidth="1"/>
    <col min="9" max="9" width="13" bestFit="1" customWidth="1"/>
    <col min="10" max="10" width="9.5546875" bestFit="1" customWidth="1"/>
    <col min="11" max="11" width="14.109375" bestFit="1" customWidth="1"/>
    <col min="12" max="13" width="18.77734375" bestFit="1" customWidth="1"/>
    <col min="14" max="14" width="14.33203125" bestFit="1" customWidth="1"/>
    <col min="15" max="15" width="18" customWidth="1"/>
    <col min="16" max="16" width="11.77734375" bestFit="1" customWidth="1"/>
  </cols>
  <sheetData>
    <row r="1" spans="1:17">
      <c r="A1" t="s">
        <v>236</v>
      </c>
      <c r="B1" t="s">
        <v>235</v>
      </c>
      <c r="C1" t="s">
        <v>232</v>
      </c>
      <c r="D1" t="s">
        <v>231</v>
      </c>
      <c r="E1" t="s">
        <v>229</v>
      </c>
      <c r="F1" t="s">
        <v>227</v>
      </c>
      <c r="G1" t="s">
        <v>226</v>
      </c>
      <c r="H1" t="s">
        <v>224</v>
      </c>
      <c r="I1" t="s">
        <v>222</v>
      </c>
      <c r="J1" t="s">
        <v>220</v>
      </c>
      <c r="K1" t="s">
        <v>218</v>
      </c>
      <c r="L1" t="s">
        <v>216</v>
      </c>
      <c r="M1" t="s">
        <v>212</v>
      </c>
      <c r="N1" t="s">
        <v>210</v>
      </c>
      <c r="O1" t="s">
        <v>208</v>
      </c>
      <c r="P1" t="s">
        <v>206</v>
      </c>
      <c r="Q1" t="s">
        <v>204</v>
      </c>
    </row>
    <row r="2" spans="1:17">
      <c r="A2">
        <v>12629</v>
      </c>
      <c r="B2" s="6">
        <v>45573.484236111108</v>
      </c>
      <c r="C2">
        <v>21</v>
      </c>
      <c r="D2" t="s">
        <v>33</v>
      </c>
      <c r="E2" t="s">
        <v>17</v>
      </c>
      <c r="F2">
        <v>3029</v>
      </c>
      <c r="G2" t="s">
        <v>14</v>
      </c>
      <c r="H2" t="s">
        <v>23</v>
      </c>
      <c r="I2" t="s">
        <v>25</v>
      </c>
      <c r="J2">
        <v>69.11</v>
      </c>
      <c r="K2">
        <v>2</v>
      </c>
      <c r="L2">
        <v>138.22</v>
      </c>
      <c r="M2" s="5">
        <v>79.177304013895096</v>
      </c>
      <c r="N2" s="5" t="s">
        <v>201</v>
      </c>
      <c r="O2">
        <v>8</v>
      </c>
      <c r="P2">
        <v>3</v>
      </c>
      <c r="Q2">
        <v>0</v>
      </c>
    </row>
    <row r="3" spans="1:17">
      <c r="A3">
        <v>37731</v>
      </c>
      <c r="B3" s="6">
        <v>46007.720393518517</v>
      </c>
      <c r="C3">
        <v>65</v>
      </c>
      <c r="D3" t="s">
        <v>15</v>
      </c>
      <c r="E3" t="s">
        <v>30</v>
      </c>
      <c r="F3">
        <v>28389</v>
      </c>
      <c r="G3" t="s">
        <v>14</v>
      </c>
      <c r="H3" t="s">
        <v>9</v>
      </c>
      <c r="I3" t="s">
        <v>37</v>
      </c>
      <c r="J3">
        <v>54.46</v>
      </c>
      <c r="K3">
        <v>2</v>
      </c>
      <c r="L3">
        <v>108.92</v>
      </c>
      <c r="O3">
        <v>7</v>
      </c>
      <c r="P3">
        <v>2</v>
      </c>
      <c r="Q3">
        <v>0</v>
      </c>
    </row>
    <row r="4" spans="1:17">
      <c r="A4">
        <v>39992</v>
      </c>
      <c r="B4" s="6">
        <v>45409.545497685183</v>
      </c>
      <c r="C4">
        <v>51</v>
      </c>
      <c r="D4" t="s">
        <v>15</v>
      </c>
      <c r="E4" t="s">
        <v>3</v>
      </c>
      <c r="F4">
        <v>8878</v>
      </c>
      <c r="G4" t="s">
        <v>2</v>
      </c>
      <c r="H4" t="s">
        <v>1</v>
      </c>
      <c r="I4" t="s">
        <v>31</v>
      </c>
      <c r="J4">
        <v>56.34</v>
      </c>
      <c r="K4">
        <v>1</v>
      </c>
      <c r="L4">
        <v>56.34</v>
      </c>
      <c r="M4" s="5" t="s">
        <v>200</v>
      </c>
      <c r="N4" s="5" t="s">
        <v>199</v>
      </c>
      <c r="O4">
        <v>9</v>
      </c>
      <c r="P4">
        <v>1</v>
      </c>
      <c r="Q4">
        <v>0</v>
      </c>
    </row>
    <row r="5" spans="1:17">
      <c r="A5">
        <v>8526</v>
      </c>
      <c r="B5" s="6">
        <v>45467.810127314813</v>
      </c>
      <c r="C5">
        <v>3</v>
      </c>
      <c r="D5" t="s">
        <v>33</v>
      </c>
      <c r="E5" t="s">
        <v>27</v>
      </c>
      <c r="F5">
        <v>3169</v>
      </c>
      <c r="G5" t="s">
        <v>10</v>
      </c>
      <c r="H5" t="s">
        <v>9</v>
      </c>
      <c r="I5" t="s">
        <v>12</v>
      </c>
      <c r="J5">
        <v>52.94</v>
      </c>
      <c r="K5">
        <v>3</v>
      </c>
      <c r="L5">
        <v>158.82</v>
      </c>
      <c r="O5">
        <v>8</v>
      </c>
      <c r="P5">
        <v>5</v>
      </c>
      <c r="Q5">
        <v>0</v>
      </c>
    </row>
    <row r="6" spans="1:17">
      <c r="A6">
        <v>8280</v>
      </c>
      <c r="B6" s="6">
        <v>45556.102349537039</v>
      </c>
      <c r="C6">
        <v>50</v>
      </c>
      <c r="D6" t="s">
        <v>8</v>
      </c>
      <c r="E6" t="s">
        <v>30</v>
      </c>
      <c r="F6">
        <v>27958</v>
      </c>
      <c r="G6" t="s">
        <v>14</v>
      </c>
      <c r="H6" t="s">
        <v>16</v>
      </c>
      <c r="I6" t="s">
        <v>28</v>
      </c>
      <c r="K6">
        <v>6</v>
      </c>
      <c r="O6">
        <v>3</v>
      </c>
      <c r="P6">
        <v>5</v>
      </c>
    </row>
    <row r="7" spans="1:17">
      <c r="A7">
        <v>51013</v>
      </c>
      <c r="B7" s="6">
        <v>45610.843159722222</v>
      </c>
      <c r="C7">
        <v>75</v>
      </c>
      <c r="D7" t="s">
        <v>4</v>
      </c>
      <c r="E7" t="s">
        <v>27</v>
      </c>
      <c r="F7">
        <v>5394</v>
      </c>
      <c r="G7" t="s">
        <v>10</v>
      </c>
      <c r="H7" t="s">
        <v>23</v>
      </c>
      <c r="I7" t="s">
        <v>25</v>
      </c>
      <c r="J7">
        <v>128.71</v>
      </c>
      <c r="K7">
        <v>2</v>
      </c>
      <c r="L7">
        <v>257.42</v>
      </c>
      <c r="M7" s="5" t="s">
        <v>198</v>
      </c>
      <c r="N7" s="5" t="s">
        <v>197</v>
      </c>
      <c r="O7">
        <v>6</v>
      </c>
      <c r="P7">
        <v>5</v>
      </c>
      <c r="Q7">
        <v>0</v>
      </c>
    </row>
    <row r="8" spans="1:17">
      <c r="A8">
        <v>14872</v>
      </c>
      <c r="B8" s="6">
        <v>45408.029236111113</v>
      </c>
      <c r="C8">
        <v>4</v>
      </c>
      <c r="D8" t="s">
        <v>21</v>
      </c>
      <c r="E8" t="s">
        <v>17</v>
      </c>
      <c r="F8">
        <v>24736</v>
      </c>
      <c r="G8" t="s">
        <v>6</v>
      </c>
      <c r="H8" t="s">
        <v>23</v>
      </c>
      <c r="I8" t="s">
        <v>34</v>
      </c>
      <c r="J8">
        <v>349.2</v>
      </c>
      <c r="K8">
        <v>3</v>
      </c>
      <c r="L8">
        <v>1047.5999999999999</v>
      </c>
      <c r="M8" s="5" t="s">
        <v>196</v>
      </c>
      <c r="N8" s="5" t="s">
        <v>195</v>
      </c>
      <c r="O8">
        <v>8</v>
      </c>
      <c r="P8">
        <v>3</v>
      </c>
      <c r="Q8">
        <v>0</v>
      </c>
    </row>
    <row r="9" spans="1:17">
      <c r="A9">
        <v>15128</v>
      </c>
      <c r="B9" s="6">
        <v>45797.661400462966</v>
      </c>
      <c r="C9">
        <v>18</v>
      </c>
      <c r="D9" t="s">
        <v>33</v>
      </c>
      <c r="E9" t="s">
        <v>7</v>
      </c>
      <c r="F9">
        <v>4117</v>
      </c>
      <c r="G9" t="s">
        <v>6</v>
      </c>
      <c r="H9" t="s">
        <v>1</v>
      </c>
      <c r="I9" t="s">
        <v>38</v>
      </c>
      <c r="J9">
        <v>39.33</v>
      </c>
      <c r="K9">
        <v>3</v>
      </c>
      <c r="L9">
        <v>117.99</v>
      </c>
      <c r="M9" s="5" t="s">
        <v>193</v>
      </c>
      <c r="N9">
        <v>17.720071405081399</v>
      </c>
      <c r="O9">
        <v>0</v>
      </c>
      <c r="P9">
        <v>4</v>
      </c>
      <c r="Q9">
        <v>0</v>
      </c>
    </row>
    <row r="10" spans="1:17">
      <c r="A10">
        <v>9367</v>
      </c>
      <c r="B10" s="6">
        <v>45515.423483796294</v>
      </c>
      <c r="C10">
        <v>51</v>
      </c>
      <c r="D10" t="s">
        <v>8</v>
      </c>
      <c r="E10" t="s">
        <v>7</v>
      </c>
      <c r="F10">
        <v>16053</v>
      </c>
      <c r="G10" t="s">
        <v>10</v>
      </c>
      <c r="H10" t="s">
        <v>1</v>
      </c>
      <c r="I10" t="s">
        <v>0</v>
      </c>
      <c r="J10">
        <v>42.39</v>
      </c>
      <c r="K10">
        <v>4</v>
      </c>
      <c r="L10">
        <v>169.56</v>
      </c>
      <c r="O10">
        <v>2</v>
      </c>
      <c r="P10">
        <v>4</v>
      </c>
      <c r="Q10">
        <v>0</v>
      </c>
    </row>
    <row r="11" spans="1:17">
      <c r="A11">
        <v>33323</v>
      </c>
      <c r="B11" s="6">
        <v>45915.050532407404</v>
      </c>
      <c r="C11">
        <v>27</v>
      </c>
      <c r="D11" t="s">
        <v>15</v>
      </c>
      <c r="E11" t="s">
        <v>11</v>
      </c>
      <c r="F11">
        <v>16076</v>
      </c>
      <c r="G11" t="s">
        <v>14</v>
      </c>
      <c r="H11" t="s">
        <v>23</v>
      </c>
      <c r="I11" t="s">
        <v>34</v>
      </c>
      <c r="J11">
        <v>65.88</v>
      </c>
      <c r="K11">
        <v>4</v>
      </c>
      <c r="L11">
        <v>263.52</v>
      </c>
      <c r="M11" s="5" t="s">
        <v>192</v>
      </c>
      <c r="N11" s="5" t="s">
        <v>191</v>
      </c>
      <c r="O11">
        <v>7</v>
      </c>
      <c r="P11">
        <v>1</v>
      </c>
      <c r="Q11">
        <v>0</v>
      </c>
    </row>
    <row r="12" spans="1:17">
      <c r="A12">
        <v>53391</v>
      </c>
      <c r="B12" s="6">
        <v>45138.763298611113</v>
      </c>
      <c r="C12">
        <v>68</v>
      </c>
      <c r="D12" t="s">
        <v>21</v>
      </c>
      <c r="E12" t="s">
        <v>30</v>
      </c>
      <c r="F12">
        <v>10593</v>
      </c>
      <c r="G12" t="s">
        <v>6</v>
      </c>
      <c r="H12" t="s">
        <v>23</v>
      </c>
      <c r="I12" t="s">
        <v>25</v>
      </c>
      <c r="J12">
        <v>38.909999999999997</v>
      </c>
      <c r="K12">
        <v>2</v>
      </c>
      <c r="L12">
        <v>77.819999999999993</v>
      </c>
      <c r="M12" s="5" t="s">
        <v>189</v>
      </c>
      <c r="N12" s="5" t="s">
        <v>188</v>
      </c>
      <c r="O12">
        <v>5</v>
      </c>
      <c r="P12">
        <v>3</v>
      </c>
    </row>
    <row r="13" spans="1:17">
      <c r="A13">
        <v>21820</v>
      </c>
      <c r="B13" s="6">
        <v>45435.569374999999</v>
      </c>
      <c r="C13">
        <v>24</v>
      </c>
      <c r="D13" t="s">
        <v>15</v>
      </c>
      <c r="E13" t="s">
        <v>27</v>
      </c>
      <c r="F13">
        <v>24446</v>
      </c>
      <c r="G13" t="s">
        <v>14</v>
      </c>
      <c r="H13" t="s">
        <v>9</v>
      </c>
      <c r="I13" t="s">
        <v>35</v>
      </c>
      <c r="J13">
        <v>32.71</v>
      </c>
      <c r="K13">
        <v>1</v>
      </c>
      <c r="L13">
        <v>32.71</v>
      </c>
      <c r="M13">
        <v>15.5101019219055</v>
      </c>
      <c r="N13" s="5" t="s">
        <v>186</v>
      </c>
      <c r="O13">
        <v>5</v>
      </c>
      <c r="P13">
        <v>2</v>
      </c>
      <c r="Q13">
        <v>0</v>
      </c>
    </row>
    <row r="14" spans="1:17">
      <c r="A14">
        <v>5027</v>
      </c>
      <c r="B14" s="6">
        <v>45996.83871527778</v>
      </c>
      <c r="C14">
        <v>59</v>
      </c>
      <c r="D14" t="s">
        <v>13</v>
      </c>
      <c r="E14" t="s">
        <v>17</v>
      </c>
      <c r="F14">
        <v>24829</v>
      </c>
      <c r="G14" t="s">
        <v>6</v>
      </c>
      <c r="H14" t="s">
        <v>1</v>
      </c>
      <c r="I14" t="s">
        <v>38</v>
      </c>
      <c r="J14">
        <v>54.23</v>
      </c>
      <c r="K14">
        <v>6</v>
      </c>
      <c r="L14">
        <v>325.38</v>
      </c>
      <c r="M14" s="5" t="s">
        <v>185</v>
      </c>
      <c r="N14" s="5" t="s">
        <v>184</v>
      </c>
      <c r="O14">
        <v>0</v>
      </c>
      <c r="P14">
        <v>2</v>
      </c>
      <c r="Q14">
        <v>0</v>
      </c>
    </row>
    <row r="15" spans="1:17">
      <c r="A15">
        <v>23429</v>
      </c>
      <c r="B15" s="6">
        <v>45999.067812499998</v>
      </c>
      <c r="C15">
        <v>60</v>
      </c>
      <c r="D15" t="s">
        <v>33</v>
      </c>
      <c r="E15" t="s">
        <v>7</v>
      </c>
      <c r="F15">
        <v>15773</v>
      </c>
      <c r="G15" t="s">
        <v>10</v>
      </c>
      <c r="H15" t="s">
        <v>9</v>
      </c>
      <c r="J15">
        <v>100.52</v>
      </c>
      <c r="K15">
        <v>0</v>
      </c>
      <c r="L15">
        <v>0</v>
      </c>
      <c r="M15">
        <v>0</v>
      </c>
      <c r="N15">
        <v>0</v>
      </c>
      <c r="O15">
        <v>8</v>
      </c>
      <c r="P15">
        <v>1</v>
      </c>
      <c r="Q15">
        <v>0</v>
      </c>
    </row>
    <row r="16" spans="1:17">
      <c r="A16">
        <v>45298</v>
      </c>
      <c r="B16" s="6">
        <v>45095.218668981484</v>
      </c>
      <c r="C16">
        <v>2</v>
      </c>
      <c r="D16" t="s">
        <v>33</v>
      </c>
      <c r="E16" t="s">
        <v>3</v>
      </c>
      <c r="F16">
        <v>25279</v>
      </c>
      <c r="G16" t="s">
        <v>10</v>
      </c>
      <c r="H16" t="s">
        <v>16</v>
      </c>
      <c r="I16" t="s">
        <v>28</v>
      </c>
      <c r="J16">
        <v>54.22</v>
      </c>
      <c r="K16">
        <v>5</v>
      </c>
      <c r="L16">
        <v>271.10000000000002</v>
      </c>
      <c r="M16" s="5" t="s">
        <v>182</v>
      </c>
      <c r="N16" s="5" t="s">
        <v>181</v>
      </c>
      <c r="O16">
        <v>1</v>
      </c>
      <c r="P16">
        <v>1</v>
      </c>
    </row>
    <row r="17" spans="1:17">
      <c r="A17">
        <v>26355</v>
      </c>
      <c r="B17" s="6">
        <v>45470.924976851849</v>
      </c>
      <c r="C17">
        <v>64</v>
      </c>
      <c r="D17" t="s">
        <v>21</v>
      </c>
      <c r="E17" t="s">
        <v>30</v>
      </c>
      <c r="F17">
        <v>18653</v>
      </c>
      <c r="G17" t="s">
        <v>6</v>
      </c>
      <c r="H17" t="s">
        <v>1</v>
      </c>
      <c r="I17" t="s">
        <v>31</v>
      </c>
      <c r="J17">
        <v>106.04</v>
      </c>
      <c r="K17">
        <v>4</v>
      </c>
      <c r="L17">
        <v>424.16</v>
      </c>
      <c r="M17" s="5" t="s">
        <v>180</v>
      </c>
      <c r="N17" s="5" t="s">
        <v>179</v>
      </c>
      <c r="O17">
        <v>3</v>
      </c>
      <c r="P17">
        <v>3</v>
      </c>
      <c r="Q17">
        <v>0</v>
      </c>
    </row>
    <row r="18" spans="1:17">
      <c r="A18">
        <v>30196</v>
      </c>
      <c r="B18" s="6">
        <v>45403.673472222225</v>
      </c>
      <c r="C18">
        <v>6</v>
      </c>
      <c r="D18" t="s">
        <v>33</v>
      </c>
      <c r="E18" t="s">
        <v>7</v>
      </c>
      <c r="F18">
        <v>27272</v>
      </c>
      <c r="G18" t="s">
        <v>6</v>
      </c>
      <c r="H18" t="s">
        <v>1</v>
      </c>
      <c r="I18" t="s">
        <v>31</v>
      </c>
      <c r="J18">
        <v>48.65</v>
      </c>
      <c r="K18">
        <v>2</v>
      </c>
      <c r="L18">
        <v>97.3</v>
      </c>
      <c r="M18" s="5" t="s">
        <v>178</v>
      </c>
      <c r="N18" s="5" t="s">
        <v>177</v>
      </c>
      <c r="O18">
        <v>7</v>
      </c>
      <c r="Q18">
        <v>0</v>
      </c>
    </row>
    <row r="19" spans="1:17">
      <c r="A19">
        <v>47039</v>
      </c>
      <c r="B19" s="6">
        <v>45723.997141203705</v>
      </c>
      <c r="C19">
        <v>84</v>
      </c>
      <c r="D19" t="s">
        <v>13</v>
      </c>
      <c r="E19" t="s">
        <v>11</v>
      </c>
      <c r="F19">
        <v>19083</v>
      </c>
      <c r="G19" t="s">
        <v>10</v>
      </c>
      <c r="H19" t="s">
        <v>16</v>
      </c>
      <c r="I19" t="s">
        <v>29</v>
      </c>
      <c r="J19">
        <v>20.440000000000001</v>
      </c>
      <c r="K19">
        <v>1</v>
      </c>
      <c r="L19">
        <v>20.440000000000001</v>
      </c>
      <c r="M19" s="5" t="s">
        <v>175</v>
      </c>
      <c r="N19" s="5" t="s">
        <v>174</v>
      </c>
      <c r="O19">
        <v>9</v>
      </c>
      <c r="P19">
        <v>3</v>
      </c>
      <c r="Q19">
        <v>0</v>
      </c>
    </row>
    <row r="20" spans="1:17">
      <c r="A20">
        <v>20732</v>
      </c>
      <c r="B20" s="6">
        <v>45462.738761574074</v>
      </c>
      <c r="C20">
        <v>68</v>
      </c>
      <c r="D20" t="s">
        <v>4</v>
      </c>
      <c r="E20" t="s">
        <v>30</v>
      </c>
      <c r="F20">
        <v>17938</v>
      </c>
      <c r="G20" t="s">
        <v>14</v>
      </c>
      <c r="H20" t="s">
        <v>19</v>
      </c>
      <c r="I20" t="s">
        <v>26</v>
      </c>
      <c r="J20">
        <v>85.97</v>
      </c>
      <c r="K20">
        <v>3</v>
      </c>
      <c r="L20" s="5" t="s">
        <v>173</v>
      </c>
      <c r="M20" s="5" t="s">
        <v>171</v>
      </c>
      <c r="N20" s="5" t="s">
        <v>170</v>
      </c>
      <c r="O20">
        <v>1</v>
      </c>
      <c r="P20">
        <v>4</v>
      </c>
      <c r="Q20">
        <v>0</v>
      </c>
    </row>
    <row r="21" spans="1:17">
      <c r="A21">
        <v>34048</v>
      </c>
      <c r="B21" s="6">
        <v>45886.009918981479</v>
      </c>
      <c r="C21">
        <v>75</v>
      </c>
      <c r="D21" t="s">
        <v>15</v>
      </c>
      <c r="E21" t="s">
        <v>27</v>
      </c>
      <c r="F21">
        <v>16126</v>
      </c>
      <c r="G21" t="s">
        <v>2</v>
      </c>
      <c r="H21" t="s">
        <v>16</v>
      </c>
      <c r="I21" t="s">
        <v>28</v>
      </c>
      <c r="K21">
        <v>0</v>
      </c>
      <c r="O21">
        <v>9</v>
      </c>
      <c r="P21">
        <v>2</v>
      </c>
      <c r="Q21">
        <v>0</v>
      </c>
    </row>
    <row r="22" spans="1:17">
      <c r="A22">
        <v>26065</v>
      </c>
      <c r="B22" s="6">
        <v>45025.329687500001</v>
      </c>
      <c r="C22">
        <v>35</v>
      </c>
      <c r="D22" t="s">
        <v>4</v>
      </c>
      <c r="E22" t="s">
        <v>7</v>
      </c>
      <c r="F22">
        <v>24537</v>
      </c>
      <c r="G22" t="s">
        <v>6</v>
      </c>
      <c r="H22" t="s">
        <v>16</v>
      </c>
      <c r="I22" t="s">
        <v>36</v>
      </c>
      <c r="J22">
        <v>106.76</v>
      </c>
      <c r="K22">
        <v>4</v>
      </c>
      <c r="L22">
        <v>427.04</v>
      </c>
      <c r="M22" s="5" t="s">
        <v>169</v>
      </c>
      <c r="N22" s="5" t="s">
        <v>168</v>
      </c>
      <c r="O22">
        <v>2</v>
      </c>
      <c r="Q22">
        <v>0</v>
      </c>
    </row>
    <row r="23" spans="1:17">
      <c r="A23">
        <v>42470</v>
      </c>
      <c r="B23" s="6">
        <v>44940.124664351853</v>
      </c>
      <c r="C23">
        <v>19</v>
      </c>
      <c r="D23" t="s">
        <v>21</v>
      </c>
      <c r="E23" t="s">
        <v>30</v>
      </c>
      <c r="F23">
        <v>26949</v>
      </c>
      <c r="G23" t="s">
        <v>14</v>
      </c>
      <c r="H23" t="s">
        <v>9</v>
      </c>
      <c r="I23" t="s">
        <v>35</v>
      </c>
      <c r="J23">
        <v>127.61</v>
      </c>
      <c r="K23">
        <v>4</v>
      </c>
      <c r="L23">
        <v>510.44</v>
      </c>
      <c r="M23" s="5" t="s">
        <v>167</v>
      </c>
      <c r="N23" s="5" t="s">
        <v>166</v>
      </c>
      <c r="O23">
        <v>7</v>
      </c>
      <c r="P23">
        <v>4</v>
      </c>
      <c r="Q23">
        <v>0</v>
      </c>
    </row>
    <row r="24" spans="1:17">
      <c r="A24">
        <v>29747</v>
      </c>
      <c r="B24" s="6">
        <v>45703.901006944441</v>
      </c>
      <c r="C24">
        <v>65</v>
      </c>
      <c r="D24" t="s">
        <v>33</v>
      </c>
      <c r="E24" t="s">
        <v>17</v>
      </c>
      <c r="F24">
        <v>23239</v>
      </c>
      <c r="G24" t="s">
        <v>14</v>
      </c>
      <c r="H24" t="s">
        <v>19</v>
      </c>
      <c r="I24" t="s">
        <v>18</v>
      </c>
      <c r="J24">
        <v>24.6</v>
      </c>
      <c r="K24">
        <v>1</v>
      </c>
      <c r="L24">
        <v>24.6</v>
      </c>
      <c r="O24">
        <v>3</v>
      </c>
      <c r="P24">
        <v>2</v>
      </c>
      <c r="Q24">
        <v>0</v>
      </c>
    </row>
    <row r="25" spans="1:17">
      <c r="A25">
        <v>14523</v>
      </c>
      <c r="B25" s="6">
        <v>45944.248171296298</v>
      </c>
      <c r="C25">
        <v>63</v>
      </c>
      <c r="D25" t="s">
        <v>13</v>
      </c>
      <c r="E25" t="s">
        <v>30</v>
      </c>
      <c r="F25">
        <v>22236</v>
      </c>
      <c r="G25" t="s">
        <v>6</v>
      </c>
      <c r="H25" t="s">
        <v>9</v>
      </c>
      <c r="I25" t="s">
        <v>32</v>
      </c>
      <c r="J25">
        <v>43.87</v>
      </c>
      <c r="K25">
        <v>2</v>
      </c>
      <c r="L25">
        <v>87.74</v>
      </c>
      <c r="M25" s="5" t="s">
        <v>163</v>
      </c>
      <c r="N25" s="5" t="s">
        <v>162</v>
      </c>
      <c r="O25">
        <v>4</v>
      </c>
      <c r="P25">
        <v>1</v>
      </c>
      <c r="Q25">
        <v>0</v>
      </c>
    </row>
    <row r="26" spans="1:17">
      <c r="A26">
        <v>31573</v>
      </c>
      <c r="B26" s="6">
        <v>45132.026909722219</v>
      </c>
      <c r="C26">
        <v>18</v>
      </c>
      <c r="D26" t="s">
        <v>8</v>
      </c>
      <c r="E26" t="s">
        <v>27</v>
      </c>
      <c r="F26">
        <v>26093</v>
      </c>
      <c r="G26" t="s">
        <v>6</v>
      </c>
      <c r="H26" t="s">
        <v>23</v>
      </c>
      <c r="I26" t="s">
        <v>22</v>
      </c>
      <c r="J26">
        <v>36.31</v>
      </c>
      <c r="K26">
        <v>3</v>
      </c>
      <c r="L26">
        <v>108.93</v>
      </c>
      <c r="M26">
        <v>61.381092570252001</v>
      </c>
      <c r="N26">
        <v>45.370307429748003</v>
      </c>
      <c r="O26">
        <v>5</v>
      </c>
      <c r="P26">
        <v>4</v>
      </c>
      <c r="Q26">
        <v>0</v>
      </c>
    </row>
    <row r="27" spans="1:17">
      <c r="A27">
        <v>54950</v>
      </c>
      <c r="B27" s="6">
        <v>45966.749224537038</v>
      </c>
      <c r="C27">
        <v>77</v>
      </c>
      <c r="D27" t="s">
        <v>21</v>
      </c>
      <c r="E27" t="s">
        <v>11</v>
      </c>
      <c r="F27">
        <v>6499</v>
      </c>
      <c r="G27" t="s">
        <v>10</v>
      </c>
      <c r="H27" t="s">
        <v>16</v>
      </c>
      <c r="I27" t="s">
        <v>24</v>
      </c>
      <c r="J27">
        <v>60.75</v>
      </c>
      <c r="O27">
        <v>3</v>
      </c>
      <c r="P27">
        <v>1</v>
      </c>
      <c r="Q27">
        <v>0</v>
      </c>
    </row>
    <row r="28" spans="1:17">
      <c r="A28">
        <v>19369</v>
      </c>
      <c r="B28" s="6">
        <v>45299.062858796293</v>
      </c>
      <c r="C28">
        <v>42</v>
      </c>
      <c r="D28" t="s">
        <v>15</v>
      </c>
      <c r="E28" t="s">
        <v>17</v>
      </c>
      <c r="F28">
        <v>26382</v>
      </c>
      <c r="G28" t="s">
        <v>14</v>
      </c>
      <c r="H28" t="s">
        <v>23</v>
      </c>
      <c r="I28" t="s">
        <v>25</v>
      </c>
      <c r="J28">
        <v>56.01</v>
      </c>
      <c r="K28">
        <v>4</v>
      </c>
      <c r="L28">
        <v>224.04</v>
      </c>
      <c r="M28" s="5" t="s">
        <v>160</v>
      </c>
      <c r="N28" s="5" t="s">
        <v>159</v>
      </c>
      <c r="O28">
        <v>3</v>
      </c>
      <c r="P28">
        <v>4</v>
      </c>
      <c r="Q28">
        <v>0</v>
      </c>
    </row>
    <row r="29" spans="1:17">
      <c r="A29">
        <v>3804</v>
      </c>
      <c r="B29" s="6">
        <v>45644.898460648146</v>
      </c>
      <c r="C29">
        <v>75</v>
      </c>
      <c r="D29" t="s">
        <v>33</v>
      </c>
      <c r="E29" t="s">
        <v>11</v>
      </c>
      <c r="F29">
        <v>13901</v>
      </c>
      <c r="G29" t="s">
        <v>10</v>
      </c>
      <c r="H29" t="s">
        <v>9</v>
      </c>
      <c r="I29" t="s">
        <v>35</v>
      </c>
      <c r="J29">
        <v>120.29</v>
      </c>
      <c r="K29">
        <v>1</v>
      </c>
      <c r="L29">
        <v>120.29</v>
      </c>
      <c r="M29" s="5" t="s">
        <v>157</v>
      </c>
      <c r="N29" s="5" t="s">
        <v>156</v>
      </c>
      <c r="O29">
        <v>7</v>
      </c>
      <c r="P29">
        <v>3</v>
      </c>
      <c r="Q29">
        <v>0</v>
      </c>
    </row>
    <row r="30" spans="1:17">
      <c r="A30">
        <v>53326</v>
      </c>
      <c r="B30" s="6">
        <v>45250.795300925929</v>
      </c>
      <c r="C30">
        <v>16</v>
      </c>
      <c r="D30" t="s">
        <v>13</v>
      </c>
      <c r="E30" t="s">
        <v>11</v>
      </c>
      <c r="F30">
        <v>21497</v>
      </c>
      <c r="G30" t="s">
        <v>14</v>
      </c>
      <c r="H30" t="s">
        <v>19</v>
      </c>
      <c r="I30" t="s">
        <v>18</v>
      </c>
      <c r="J30">
        <v>78.41</v>
      </c>
      <c r="K30">
        <v>4</v>
      </c>
      <c r="L30">
        <v>313.64</v>
      </c>
      <c r="M30" s="5" t="s">
        <v>154</v>
      </c>
      <c r="N30" s="5" t="s">
        <v>153</v>
      </c>
      <c r="O30">
        <v>7</v>
      </c>
      <c r="P30">
        <v>3</v>
      </c>
      <c r="Q30">
        <v>0</v>
      </c>
    </row>
    <row r="31" spans="1:17">
      <c r="A31">
        <v>14301</v>
      </c>
      <c r="B31" s="6">
        <v>45915.971828703703</v>
      </c>
      <c r="C31">
        <v>2</v>
      </c>
      <c r="D31" t="s">
        <v>13</v>
      </c>
      <c r="E31" t="s">
        <v>17</v>
      </c>
      <c r="F31">
        <v>25676</v>
      </c>
      <c r="G31" t="s">
        <v>2</v>
      </c>
      <c r="H31" t="s">
        <v>19</v>
      </c>
      <c r="I31" t="s">
        <v>40</v>
      </c>
      <c r="J31">
        <v>19.079999999999998</v>
      </c>
      <c r="K31">
        <v>1</v>
      </c>
      <c r="L31">
        <v>19.079999999999998</v>
      </c>
      <c r="M31">
        <v>9.6432456364725603</v>
      </c>
      <c r="N31" s="5" t="s">
        <v>152</v>
      </c>
      <c r="O31">
        <v>9</v>
      </c>
      <c r="P31">
        <v>5</v>
      </c>
      <c r="Q31">
        <v>0</v>
      </c>
    </row>
    <row r="32" spans="1:17">
      <c r="A32">
        <v>51302</v>
      </c>
      <c r="B32" s="6">
        <v>45951.146886574075</v>
      </c>
      <c r="C32">
        <v>72</v>
      </c>
      <c r="D32" t="s">
        <v>8</v>
      </c>
      <c r="E32" t="s">
        <v>11</v>
      </c>
      <c r="F32">
        <v>23183</v>
      </c>
      <c r="G32" t="s">
        <v>14</v>
      </c>
      <c r="H32" t="s">
        <v>19</v>
      </c>
      <c r="I32" t="s">
        <v>18</v>
      </c>
      <c r="J32">
        <v>26.95</v>
      </c>
      <c r="K32">
        <v>2</v>
      </c>
      <c r="L32">
        <v>53.9</v>
      </c>
      <c r="M32">
        <v>29.458168087770002</v>
      </c>
      <c r="N32" s="5" t="s">
        <v>150</v>
      </c>
      <c r="O32">
        <v>1</v>
      </c>
      <c r="Q32">
        <v>0</v>
      </c>
    </row>
    <row r="33" spans="1:17">
      <c r="A33">
        <v>9009</v>
      </c>
      <c r="B33" s="6">
        <v>45852.649282407408</v>
      </c>
      <c r="C33">
        <v>53</v>
      </c>
      <c r="D33" t="s">
        <v>13</v>
      </c>
      <c r="E33" t="s">
        <v>11</v>
      </c>
      <c r="F33">
        <v>16892</v>
      </c>
      <c r="G33" t="s">
        <v>2</v>
      </c>
      <c r="H33" t="s">
        <v>1</v>
      </c>
      <c r="I33" t="s">
        <v>38</v>
      </c>
      <c r="J33">
        <v>37.31</v>
      </c>
      <c r="K33">
        <v>2</v>
      </c>
      <c r="L33">
        <v>74.62</v>
      </c>
      <c r="M33" s="5" t="s">
        <v>149</v>
      </c>
      <c r="N33" s="5" t="s">
        <v>148</v>
      </c>
      <c r="O33">
        <v>8</v>
      </c>
      <c r="P33">
        <v>4</v>
      </c>
      <c r="Q33">
        <v>1</v>
      </c>
    </row>
    <row r="34" spans="1:17">
      <c r="A34">
        <v>47522</v>
      </c>
      <c r="B34" s="6">
        <v>45281.740752314814</v>
      </c>
      <c r="C34">
        <v>16</v>
      </c>
      <c r="D34" t="s">
        <v>4</v>
      </c>
      <c r="E34" t="s">
        <v>11</v>
      </c>
      <c r="F34">
        <v>7382</v>
      </c>
      <c r="G34" t="s">
        <v>6</v>
      </c>
      <c r="H34" t="s">
        <v>1</v>
      </c>
      <c r="I34" t="s">
        <v>5</v>
      </c>
      <c r="J34">
        <v>68.36</v>
      </c>
      <c r="K34">
        <v>1</v>
      </c>
      <c r="L34">
        <v>68.36</v>
      </c>
      <c r="M34" s="5" t="s">
        <v>147</v>
      </c>
      <c r="N34" s="5" t="s">
        <v>146</v>
      </c>
      <c r="O34">
        <v>3</v>
      </c>
      <c r="P34">
        <v>2</v>
      </c>
      <c r="Q34">
        <v>0</v>
      </c>
    </row>
    <row r="35" spans="1:17">
      <c r="A35">
        <v>25225</v>
      </c>
      <c r="B35" s="6">
        <v>45459.491875</v>
      </c>
      <c r="C35">
        <v>3</v>
      </c>
      <c r="D35" t="s">
        <v>13</v>
      </c>
      <c r="E35" t="s">
        <v>17</v>
      </c>
      <c r="F35">
        <v>4514</v>
      </c>
      <c r="G35" t="s">
        <v>2</v>
      </c>
      <c r="H35" t="s">
        <v>19</v>
      </c>
      <c r="I35" t="s">
        <v>40</v>
      </c>
      <c r="J35">
        <v>82.03</v>
      </c>
      <c r="K35">
        <v>1</v>
      </c>
      <c r="L35">
        <v>82.03</v>
      </c>
      <c r="M35" s="5" t="s">
        <v>144</v>
      </c>
      <c r="N35" s="5" t="s">
        <v>143</v>
      </c>
      <c r="O35">
        <v>6</v>
      </c>
      <c r="P35">
        <v>1</v>
      </c>
      <c r="Q35">
        <v>0</v>
      </c>
    </row>
    <row r="36" spans="1:17">
      <c r="A36">
        <v>48922</v>
      </c>
      <c r="B36" s="6">
        <v>45569.453252314815</v>
      </c>
      <c r="C36">
        <v>4</v>
      </c>
      <c r="D36" t="s">
        <v>8</v>
      </c>
      <c r="E36" t="s">
        <v>7</v>
      </c>
      <c r="F36">
        <v>10390</v>
      </c>
      <c r="G36" t="s">
        <v>14</v>
      </c>
      <c r="H36" t="s">
        <v>9</v>
      </c>
      <c r="I36" t="s">
        <v>37</v>
      </c>
      <c r="J36">
        <v>24.05</v>
      </c>
      <c r="K36">
        <v>4</v>
      </c>
      <c r="L36">
        <v>96.2</v>
      </c>
      <c r="O36">
        <v>8</v>
      </c>
      <c r="P36">
        <v>5</v>
      </c>
      <c r="Q36">
        <v>0</v>
      </c>
    </row>
    <row r="37" spans="1:17">
      <c r="A37">
        <v>37979</v>
      </c>
      <c r="B37" s="6">
        <v>45978.121342592596</v>
      </c>
      <c r="C37">
        <v>81</v>
      </c>
      <c r="D37" t="s">
        <v>21</v>
      </c>
      <c r="E37" t="s">
        <v>30</v>
      </c>
      <c r="F37">
        <v>9121</v>
      </c>
      <c r="G37" t="s">
        <v>14</v>
      </c>
      <c r="H37" t="s">
        <v>23</v>
      </c>
      <c r="I37" t="s">
        <v>39</v>
      </c>
      <c r="J37">
        <v>118.59</v>
      </c>
      <c r="K37">
        <v>1</v>
      </c>
      <c r="L37">
        <v>118.59</v>
      </c>
      <c r="M37" s="5" t="s">
        <v>141</v>
      </c>
      <c r="N37" s="5" t="s">
        <v>140</v>
      </c>
      <c r="O37">
        <v>3</v>
      </c>
      <c r="P37">
        <v>5</v>
      </c>
      <c r="Q37">
        <v>0</v>
      </c>
    </row>
    <row r="38" spans="1:17">
      <c r="A38">
        <v>44172</v>
      </c>
      <c r="B38" s="6">
        <v>44991.922534722224</v>
      </c>
      <c r="C38">
        <v>29</v>
      </c>
      <c r="D38" t="s">
        <v>4</v>
      </c>
      <c r="E38" t="s">
        <v>30</v>
      </c>
      <c r="F38">
        <v>21221</v>
      </c>
      <c r="G38" t="s">
        <v>6</v>
      </c>
      <c r="H38" t="s">
        <v>23</v>
      </c>
      <c r="I38" t="s">
        <v>34</v>
      </c>
      <c r="J38">
        <v>64.64</v>
      </c>
      <c r="K38">
        <v>2</v>
      </c>
      <c r="L38">
        <v>129.28</v>
      </c>
      <c r="O38">
        <v>4</v>
      </c>
      <c r="P38">
        <v>3</v>
      </c>
      <c r="Q38">
        <v>0</v>
      </c>
    </row>
    <row r="39" spans="1:17">
      <c r="A39">
        <v>26304</v>
      </c>
      <c r="B39" s="6">
        <v>45362.229953703703</v>
      </c>
      <c r="C39">
        <v>62</v>
      </c>
      <c r="D39" t="s">
        <v>33</v>
      </c>
      <c r="E39" t="s">
        <v>7</v>
      </c>
      <c r="F39">
        <v>24096</v>
      </c>
      <c r="G39" t="s">
        <v>2</v>
      </c>
      <c r="H39" t="s">
        <v>23</v>
      </c>
      <c r="I39" t="s">
        <v>22</v>
      </c>
      <c r="J39">
        <v>68.39</v>
      </c>
      <c r="K39">
        <v>1</v>
      </c>
      <c r="L39">
        <v>68.39</v>
      </c>
      <c r="M39" s="5" t="s">
        <v>139</v>
      </c>
      <c r="N39" s="5" t="s">
        <v>138</v>
      </c>
      <c r="O39">
        <v>1</v>
      </c>
      <c r="Q39">
        <v>0</v>
      </c>
    </row>
    <row r="40" spans="1:17">
      <c r="A40">
        <v>19459</v>
      </c>
      <c r="B40" s="6">
        <v>45185.438807870371</v>
      </c>
      <c r="C40">
        <v>1</v>
      </c>
      <c r="D40" t="s">
        <v>13</v>
      </c>
      <c r="E40" t="s">
        <v>27</v>
      </c>
      <c r="F40">
        <v>22068</v>
      </c>
      <c r="G40" t="s">
        <v>6</v>
      </c>
      <c r="H40" t="s">
        <v>19</v>
      </c>
      <c r="I40" t="s">
        <v>20</v>
      </c>
      <c r="J40">
        <v>21.31</v>
      </c>
      <c r="K40">
        <v>0</v>
      </c>
      <c r="L40">
        <v>0</v>
      </c>
      <c r="O40">
        <v>0</v>
      </c>
      <c r="P40">
        <v>3</v>
      </c>
      <c r="Q40">
        <v>0</v>
      </c>
    </row>
    <row r="41" spans="1:17">
      <c r="A41">
        <v>5370</v>
      </c>
      <c r="B41" s="6">
        <v>45512.701365740744</v>
      </c>
      <c r="C41">
        <v>19</v>
      </c>
      <c r="D41" t="s">
        <v>21</v>
      </c>
      <c r="E41" t="s">
        <v>17</v>
      </c>
      <c r="F41">
        <v>12550</v>
      </c>
      <c r="G41" t="s">
        <v>14</v>
      </c>
      <c r="H41" t="s">
        <v>23</v>
      </c>
      <c r="I41" t="s">
        <v>34</v>
      </c>
      <c r="J41">
        <v>69.400000000000006</v>
      </c>
      <c r="K41">
        <v>2</v>
      </c>
      <c r="L41">
        <v>138.80000000000001</v>
      </c>
      <c r="M41" s="5" t="s">
        <v>136</v>
      </c>
      <c r="N41" s="5" t="s">
        <v>135</v>
      </c>
      <c r="O41">
        <v>2</v>
      </c>
      <c r="P41">
        <v>1</v>
      </c>
      <c r="Q41">
        <v>0</v>
      </c>
    </row>
    <row r="42" spans="1:17">
      <c r="A42">
        <v>50292</v>
      </c>
      <c r="B42" s="6">
        <v>45993.959097222221</v>
      </c>
      <c r="C42">
        <v>2</v>
      </c>
      <c r="D42" t="s">
        <v>15</v>
      </c>
      <c r="E42" t="s">
        <v>3</v>
      </c>
      <c r="F42">
        <v>21821</v>
      </c>
      <c r="G42" t="s">
        <v>10</v>
      </c>
      <c r="H42" t="s">
        <v>1</v>
      </c>
      <c r="J42">
        <v>173.08</v>
      </c>
      <c r="K42">
        <v>1</v>
      </c>
      <c r="L42">
        <v>173.08</v>
      </c>
      <c r="M42">
        <v>87.658795435548299</v>
      </c>
      <c r="N42" s="5" t="s">
        <v>134</v>
      </c>
      <c r="O42">
        <v>0</v>
      </c>
      <c r="P42">
        <v>4</v>
      </c>
      <c r="Q42">
        <v>0</v>
      </c>
    </row>
    <row r="43" spans="1:17">
      <c r="A43">
        <v>25952</v>
      </c>
      <c r="B43" s="6">
        <v>45480.194050925929</v>
      </c>
      <c r="C43">
        <v>76</v>
      </c>
      <c r="D43" t="s">
        <v>33</v>
      </c>
      <c r="E43" t="s">
        <v>30</v>
      </c>
      <c r="F43">
        <v>631</v>
      </c>
      <c r="G43" t="s">
        <v>6</v>
      </c>
      <c r="H43" t="s">
        <v>16</v>
      </c>
      <c r="J43">
        <v>193.52</v>
      </c>
      <c r="K43">
        <v>3</v>
      </c>
      <c r="L43" s="5" t="s">
        <v>133</v>
      </c>
      <c r="O43">
        <v>4</v>
      </c>
      <c r="P43">
        <v>5</v>
      </c>
    </row>
    <row r="44" spans="1:17">
      <c r="A44">
        <v>54909</v>
      </c>
      <c r="B44" s="6">
        <v>45765.017928240741</v>
      </c>
      <c r="C44">
        <v>20</v>
      </c>
      <c r="D44" t="s">
        <v>21</v>
      </c>
      <c r="E44" t="s">
        <v>3</v>
      </c>
      <c r="F44">
        <v>15565</v>
      </c>
      <c r="G44" t="s">
        <v>6</v>
      </c>
      <c r="H44" t="s">
        <v>19</v>
      </c>
      <c r="I44" t="s">
        <v>20</v>
      </c>
      <c r="J44">
        <v>25.42</v>
      </c>
      <c r="K44">
        <v>3</v>
      </c>
      <c r="L44">
        <v>76.260000000000005</v>
      </c>
      <c r="M44" s="5" t="s">
        <v>131</v>
      </c>
      <c r="N44" s="5" t="s">
        <v>130</v>
      </c>
      <c r="O44">
        <v>7</v>
      </c>
      <c r="P44">
        <v>2</v>
      </c>
      <c r="Q44">
        <v>0</v>
      </c>
    </row>
    <row r="45" spans="1:17">
      <c r="A45">
        <v>56363</v>
      </c>
      <c r="B45" s="6">
        <v>44982.477094907408</v>
      </c>
      <c r="C45">
        <v>61</v>
      </c>
      <c r="D45" t="s">
        <v>33</v>
      </c>
      <c r="E45" t="s">
        <v>17</v>
      </c>
      <c r="F45">
        <v>10613</v>
      </c>
      <c r="G45" t="s">
        <v>6</v>
      </c>
      <c r="H45" t="s">
        <v>16</v>
      </c>
      <c r="I45" t="s">
        <v>28</v>
      </c>
      <c r="J45">
        <v>154.55000000000001</v>
      </c>
      <c r="K45">
        <v>2</v>
      </c>
      <c r="L45">
        <v>309.10000000000002</v>
      </c>
      <c r="M45" s="5" t="s">
        <v>128</v>
      </c>
      <c r="N45" s="5" t="s">
        <v>127</v>
      </c>
      <c r="O45">
        <v>1</v>
      </c>
      <c r="P45">
        <v>5</v>
      </c>
      <c r="Q45">
        <v>0</v>
      </c>
    </row>
    <row r="46" spans="1:17">
      <c r="A46">
        <v>32219</v>
      </c>
      <c r="B46" s="6">
        <v>45477.554293981484</v>
      </c>
      <c r="C46">
        <v>18</v>
      </c>
      <c r="D46" t="s">
        <v>21</v>
      </c>
      <c r="E46" t="s">
        <v>30</v>
      </c>
      <c r="F46">
        <v>15268</v>
      </c>
      <c r="G46" t="s">
        <v>14</v>
      </c>
      <c r="H46" t="s">
        <v>9</v>
      </c>
      <c r="I46" t="s">
        <v>12</v>
      </c>
      <c r="J46">
        <v>40.31</v>
      </c>
      <c r="K46">
        <v>4</v>
      </c>
      <c r="L46">
        <v>161.24</v>
      </c>
      <c r="M46" s="5" t="s">
        <v>126</v>
      </c>
      <c r="N46" s="5" t="s">
        <v>125</v>
      </c>
      <c r="O46">
        <v>6</v>
      </c>
      <c r="P46">
        <v>2</v>
      </c>
      <c r="Q46">
        <v>0</v>
      </c>
    </row>
    <row r="47" spans="1:17">
      <c r="A47">
        <v>2886</v>
      </c>
      <c r="B47" s="6">
        <v>45023.242083333331</v>
      </c>
      <c r="C47">
        <v>61</v>
      </c>
      <c r="D47" t="s">
        <v>21</v>
      </c>
      <c r="E47" t="s">
        <v>3</v>
      </c>
      <c r="F47">
        <v>601</v>
      </c>
      <c r="G47" t="s">
        <v>10</v>
      </c>
      <c r="H47" t="s">
        <v>9</v>
      </c>
      <c r="I47" t="s">
        <v>37</v>
      </c>
      <c r="J47">
        <v>87.51</v>
      </c>
      <c r="K47">
        <v>3</v>
      </c>
      <c r="L47" s="5" t="s">
        <v>43</v>
      </c>
      <c r="M47" s="5" t="s">
        <v>123</v>
      </c>
      <c r="N47" s="5" t="s">
        <v>122</v>
      </c>
      <c r="O47">
        <v>7</v>
      </c>
      <c r="P47">
        <v>2</v>
      </c>
      <c r="Q47">
        <v>0</v>
      </c>
    </row>
    <row r="48" spans="1:17">
      <c r="A48">
        <v>36560</v>
      </c>
      <c r="B48" s="6">
        <v>45400.636377314811</v>
      </c>
      <c r="C48">
        <v>24</v>
      </c>
      <c r="D48" t="s">
        <v>33</v>
      </c>
      <c r="E48" t="s">
        <v>7</v>
      </c>
      <c r="F48">
        <v>9930</v>
      </c>
      <c r="G48" t="s">
        <v>6</v>
      </c>
      <c r="H48" t="s">
        <v>16</v>
      </c>
      <c r="I48" t="s">
        <v>24</v>
      </c>
      <c r="J48">
        <v>101.3</v>
      </c>
      <c r="K48">
        <v>2</v>
      </c>
      <c r="L48">
        <v>202.6</v>
      </c>
      <c r="M48" s="5" t="s">
        <v>121</v>
      </c>
      <c r="N48" s="5" t="s">
        <v>120</v>
      </c>
      <c r="O48">
        <v>8</v>
      </c>
      <c r="Q48">
        <v>0</v>
      </c>
    </row>
    <row r="49" spans="1:17">
      <c r="A49">
        <v>8967</v>
      </c>
      <c r="B49" s="6">
        <v>45126.183761574073</v>
      </c>
      <c r="C49">
        <v>59</v>
      </c>
      <c r="D49" t="s">
        <v>21</v>
      </c>
      <c r="E49" t="s">
        <v>27</v>
      </c>
      <c r="F49">
        <v>18582</v>
      </c>
      <c r="G49" t="s">
        <v>14</v>
      </c>
      <c r="H49" t="s">
        <v>23</v>
      </c>
      <c r="I49" t="s">
        <v>22</v>
      </c>
      <c r="J49">
        <v>51.61</v>
      </c>
      <c r="K49">
        <v>0</v>
      </c>
      <c r="L49">
        <v>0</v>
      </c>
      <c r="M49">
        <v>0</v>
      </c>
      <c r="N49">
        <v>0</v>
      </c>
      <c r="O49">
        <v>3</v>
      </c>
      <c r="P49">
        <v>5</v>
      </c>
      <c r="Q49">
        <v>0</v>
      </c>
    </row>
    <row r="50" spans="1:17">
      <c r="A50">
        <v>46575</v>
      </c>
      <c r="B50" s="6">
        <v>45033.499155092592</v>
      </c>
      <c r="C50">
        <v>40</v>
      </c>
      <c r="D50" t="s">
        <v>21</v>
      </c>
      <c r="E50" t="s">
        <v>3</v>
      </c>
      <c r="F50">
        <v>4955</v>
      </c>
      <c r="G50" t="s">
        <v>14</v>
      </c>
      <c r="H50" t="s">
        <v>19</v>
      </c>
      <c r="I50" t="s">
        <v>26</v>
      </c>
      <c r="J50">
        <v>156.05000000000001</v>
      </c>
      <c r="K50">
        <v>2</v>
      </c>
      <c r="L50">
        <v>312.10000000000002</v>
      </c>
      <c r="M50" s="5" t="s">
        <v>118</v>
      </c>
      <c r="N50" s="5" t="s">
        <v>117</v>
      </c>
      <c r="O50">
        <v>9</v>
      </c>
      <c r="P50">
        <v>5</v>
      </c>
      <c r="Q50">
        <v>0</v>
      </c>
    </row>
    <row r="51" spans="1:17">
      <c r="A51">
        <v>10531</v>
      </c>
      <c r="B51" s="6">
        <v>45907.040729166663</v>
      </c>
      <c r="C51">
        <v>26</v>
      </c>
      <c r="D51" t="s">
        <v>13</v>
      </c>
      <c r="E51" t="s">
        <v>7</v>
      </c>
      <c r="F51">
        <v>27886</v>
      </c>
      <c r="G51" t="s">
        <v>14</v>
      </c>
      <c r="H51" t="s">
        <v>19</v>
      </c>
      <c r="J51">
        <v>65.959999999999994</v>
      </c>
      <c r="K51">
        <v>1</v>
      </c>
      <c r="L51">
        <v>65.959999999999994</v>
      </c>
      <c r="M51" s="5" t="s">
        <v>116</v>
      </c>
      <c r="N51" s="5" t="s">
        <v>115</v>
      </c>
      <c r="O51">
        <v>5</v>
      </c>
      <c r="P51">
        <v>1</v>
      </c>
      <c r="Q51">
        <v>0</v>
      </c>
    </row>
    <row r="52" spans="1:17">
      <c r="A52">
        <v>44629</v>
      </c>
      <c r="B52" s="6">
        <v>45002.993564814817</v>
      </c>
      <c r="C52">
        <v>45</v>
      </c>
      <c r="D52" t="s">
        <v>21</v>
      </c>
      <c r="E52" t="s">
        <v>11</v>
      </c>
      <c r="F52">
        <v>22933</v>
      </c>
      <c r="G52" t="s">
        <v>14</v>
      </c>
      <c r="H52" t="s">
        <v>16</v>
      </c>
      <c r="I52" t="s">
        <v>36</v>
      </c>
      <c r="J52">
        <v>48.24</v>
      </c>
      <c r="K52">
        <v>0</v>
      </c>
      <c r="L52">
        <v>0</v>
      </c>
      <c r="M52">
        <v>0</v>
      </c>
      <c r="N52">
        <v>0</v>
      </c>
      <c r="O52">
        <v>1</v>
      </c>
      <c r="P52">
        <v>1</v>
      </c>
      <c r="Q52">
        <v>0</v>
      </c>
    </row>
    <row r="53" spans="1:17">
      <c r="A53">
        <v>274</v>
      </c>
      <c r="B53" s="6">
        <v>45713.835243055553</v>
      </c>
      <c r="C53">
        <v>62</v>
      </c>
      <c r="D53" t="s">
        <v>21</v>
      </c>
      <c r="E53" t="s">
        <v>17</v>
      </c>
      <c r="F53">
        <v>17184</v>
      </c>
      <c r="G53" t="s">
        <v>6</v>
      </c>
      <c r="H53" t="s">
        <v>23</v>
      </c>
      <c r="I53" t="s">
        <v>22</v>
      </c>
      <c r="J53">
        <v>63.19</v>
      </c>
      <c r="K53">
        <v>0</v>
      </c>
      <c r="L53">
        <v>0</v>
      </c>
      <c r="O53">
        <v>7</v>
      </c>
      <c r="P53">
        <v>2</v>
      </c>
    </row>
    <row r="54" spans="1:17">
      <c r="A54">
        <v>19270</v>
      </c>
      <c r="B54" s="6">
        <v>45822.646793981483</v>
      </c>
      <c r="C54">
        <v>8</v>
      </c>
      <c r="D54" t="s">
        <v>13</v>
      </c>
      <c r="E54" t="s">
        <v>17</v>
      </c>
      <c r="F54">
        <v>9081</v>
      </c>
      <c r="G54" t="s">
        <v>6</v>
      </c>
      <c r="H54" t="s">
        <v>9</v>
      </c>
      <c r="I54" t="s">
        <v>35</v>
      </c>
      <c r="J54">
        <v>40.369999999999997</v>
      </c>
      <c r="K54">
        <v>1</v>
      </c>
      <c r="L54">
        <v>40.369999999999997</v>
      </c>
      <c r="M54" s="5" t="s">
        <v>114</v>
      </c>
      <c r="N54" s="5" t="s">
        <v>113</v>
      </c>
      <c r="O54">
        <v>7</v>
      </c>
      <c r="P54">
        <v>2</v>
      </c>
      <c r="Q54">
        <v>0</v>
      </c>
    </row>
    <row r="55" spans="1:17">
      <c r="A55">
        <v>36912</v>
      </c>
      <c r="B55" s="6">
        <v>45314.830104166664</v>
      </c>
      <c r="C55">
        <v>13</v>
      </c>
      <c r="D55" t="s">
        <v>8</v>
      </c>
      <c r="E55" t="s">
        <v>27</v>
      </c>
      <c r="F55">
        <v>22000</v>
      </c>
      <c r="G55" t="s">
        <v>2</v>
      </c>
      <c r="H55" t="s">
        <v>19</v>
      </c>
      <c r="I55" t="s">
        <v>20</v>
      </c>
      <c r="J55">
        <v>75.099999999999994</v>
      </c>
      <c r="K55">
        <v>4</v>
      </c>
      <c r="L55">
        <v>300.39999999999998</v>
      </c>
      <c r="M55" s="5" t="s">
        <v>112</v>
      </c>
      <c r="N55">
        <v>65.034175785163796</v>
      </c>
      <c r="O55">
        <v>5</v>
      </c>
      <c r="P55">
        <v>4</v>
      </c>
      <c r="Q55">
        <v>0</v>
      </c>
    </row>
    <row r="56" spans="1:17">
      <c r="A56">
        <v>10122</v>
      </c>
      <c r="B56" s="6">
        <v>45812.356122685182</v>
      </c>
      <c r="C56">
        <v>4</v>
      </c>
      <c r="D56" t="s">
        <v>33</v>
      </c>
      <c r="E56" t="s">
        <v>11</v>
      </c>
      <c r="F56">
        <v>5317</v>
      </c>
      <c r="G56" t="s">
        <v>2</v>
      </c>
      <c r="H56" t="s">
        <v>19</v>
      </c>
      <c r="I56" t="s">
        <v>26</v>
      </c>
      <c r="J56">
        <v>31.62</v>
      </c>
      <c r="K56">
        <v>2</v>
      </c>
      <c r="L56">
        <v>63.24</v>
      </c>
      <c r="O56">
        <v>9</v>
      </c>
      <c r="P56">
        <v>2</v>
      </c>
      <c r="Q56">
        <v>0</v>
      </c>
    </row>
    <row r="57" spans="1:17">
      <c r="A57">
        <v>13291</v>
      </c>
      <c r="B57" s="6">
        <v>44972.159108796295</v>
      </c>
      <c r="C57">
        <v>27</v>
      </c>
      <c r="D57" t="s">
        <v>4</v>
      </c>
      <c r="E57" t="s">
        <v>17</v>
      </c>
      <c r="F57">
        <v>55</v>
      </c>
      <c r="G57" t="s">
        <v>2</v>
      </c>
      <c r="H57" t="s">
        <v>9</v>
      </c>
      <c r="I57" t="s">
        <v>35</v>
      </c>
      <c r="J57">
        <v>59.97</v>
      </c>
      <c r="K57">
        <v>4</v>
      </c>
      <c r="L57">
        <v>239.88</v>
      </c>
      <c r="M57" s="5" t="s">
        <v>111</v>
      </c>
      <c r="N57">
        <v>70.909119854929401</v>
      </c>
      <c r="O57">
        <v>6</v>
      </c>
      <c r="P57">
        <v>5</v>
      </c>
      <c r="Q57">
        <v>0</v>
      </c>
    </row>
    <row r="58" spans="1:17">
      <c r="A58">
        <v>57607</v>
      </c>
      <c r="B58" s="6">
        <v>45140.68178240741</v>
      </c>
      <c r="C58">
        <v>78</v>
      </c>
      <c r="D58" t="s">
        <v>4</v>
      </c>
      <c r="E58" t="s">
        <v>17</v>
      </c>
      <c r="F58">
        <v>28569</v>
      </c>
      <c r="G58" t="s">
        <v>14</v>
      </c>
      <c r="H58" t="s">
        <v>19</v>
      </c>
      <c r="I58" t="s">
        <v>20</v>
      </c>
      <c r="J58">
        <v>75.349999999999994</v>
      </c>
      <c r="K58">
        <v>3</v>
      </c>
      <c r="L58" s="5" t="s">
        <v>41</v>
      </c>
      <c r="O58">
        <v>5</v>
      </c>
      <c r="P58">
        <v>3</v>
      </c>
      <c r="Q58">
        <v>1</v>
      </c>
    </row>
    <row r="59" spans="1:17">
      <c r="A59">
        <v>47190</v>
      </c>
      <c r="B59" s="6">
        <v>45478.663368055553</v>
      </c>
      <c r="C59">
        <v>14</v>
      </c>
      <c r="D59" t="s">
        <v>4</v>
      </c>
      <c r="E59" t="s">
        <v>3</v>
      </c>
      <c r="F59">
        <v>26203</v>
      </c>
      <c r="G59" t="s">
        <v>6</v>
      </c>
      <c r="H59" t="s">
        <v>19</v>
      </c>
      <c r="I59" t="s">
        <v>40</v>
      </c>
      <c r="J59">
        <v>88.33</v>
      </c>
      <c r="K59">
        <v>3</v>
      </c>
      <c r="L59">
        <v>264.99</v>
      </c>
      <c r="M59" s="5" t="s">
        <v>109</v>
      </c>
      <c r="N59" s="5" t="s">
        <v>108</v>
      </c>
      <c r="O59">
        <v>4</v>
      </c>
      <c r="P59">
        <v>5</v>
      </c>
      <c r="Q59">
        <v>0</v>
      </c>
    </row>
    <row r="60" spans="1:17">
      <c r="A60">
        <v>29210</v>
      </c>
      <c r="B60" s="6">
        <v>45981.181354166663</v>
      </c>
      <c r="C60">
        <v>62</v>
      </c>
      <c r="D60" t="s">
        <v>8</v>
      </c>
      <c r="E60" t="s">
        <v>3</v>
      </c>
      <c r="F60">
        <v>11730</v>
      </c>
      <c r="G60" t="s">
        <v>6</v>
      </c>
      <c r="H60" t="s">
        <v>9</v>
      </c>
      <c r="I60" t="s">
        <v>12</v>
      </c>
      <c r="J60">
        <v>183.12</v>
      </c>
      <c r="K60">
        <v>5</v>
      </c>
      <c r="L60">
        <v>915.6</v>
      </c>
      <c r="M60" s="5" t="s">
        <v>107</v>
      </c>
      <c r="N60" s="5" t="s">
        <v>106</v>
      </c>
      <c r="O60">
        <v>6</v>
      </c>
      <c r="P60">
        <v>4</v>
      </c>
      <c r="Q60">
        <v>0</v>
      </c>
    </row>
    <row r="61" spans="1:17">
      <c r="A61">
        <v>42188</v>
      </c>
      <c r="B61" s="6">
        <v>45322.616423611114</v>
      </c>
      <c r="C61">
        <v>72</v>
      </c>
      <c r="D61" t="s">
        <v>15</v>
      </c>
      <c r="E61" t="s">
        <v>7</v>
      </c>
      <c r="F61">
        <v>1449</v>
      </c>
      <c r="G61" t="s">
        <v>6</v>
      </c>
      <c r="H61" t="s">
        <v>1</v>
      </c>
      <c r="I61" t="s">
        <v>38</v>
      </c>
      <c r="J61">
        <v>102.44</v>
      </c>
      <c r="K61">
        <v>4</v>
      </c>
      <c r="L61">
        <v>409.76</v>
      </c>
      <c r="M61" s="5" t="s">
        <v>104</v>
      </c>
      <c r="N61" s="5" t="s">
        <v>103</v>
      </c>
      <c r="O61">
        <v>5</v>
      </c>
      <c r="P61">
        <v>4</v>
      </c>
      <c r="Q61">
        <v>0</v>
      </c>
    </row>
    <row r="62" spans="1:17">
      <c r="A62">
        <v>25387</v>
      </c>
      <c r="B62" s="6">
        <v>45954.663599537038</v>
      </c>
      <c r="C62">
        <v>24</v>
      </c>
      <c r="D62" t="s">
        <v>33</v>
      </c>
      <c r="E62" t="s">
        <v>7</v>
      </c>
      <c r="F62">
        <v>5271</v>
      </c>
      <c r="G62" t="s">
        <v>2</v>
      </c>
      <c r="H62" t="s">
        <v>16</v>
      </c>
      <c r="I62" t="s">
        <v>24</v>
      </c>
      <c r="J62">
        <v>93.37</v>
      </c>
      <c r="K62">
        <v>2</v>
      </c>
      <c r="L62">
        <v>186.74</v>
      </c>
      <c r="O62">
        <v>3</v>
      </c>
      <c r="P62">
        <v>4</v>
      </c>
      <c r="Q62">
        <v>0</v>
      </c>
    </row>
    <row r="63" spans="1:17">
      <c r="A63">
        <v>17006</v>
      </c>
      <c r="B63" s="6">
        <v>44943.361793981479</v>
      </c>
      <c r="C63">
        <v>33</v>
      </c>
      <c r="D63" t="s">
        <v>13</v>
      </c>
      <c r="E63" t="s">
        <v>3</v>
      </c>
      <c r="F63">
        <v>16829</v>
      </c>
      <c r="G63" t="s">
        <v>14</v>
      </c>
      <c r="H63" t="s">
        <v>9</v>
      </c>
      <c r="I63" t="s">
        <v>12</v>
      </c>
      <c r="J63">
        <v>59.84</v>
      </c>
      <c r="K63">
        <v>2</v>
      </c>
      <c r="L63">
        <v>119.68</v>
      </c>
      <c r="M63">
        <v>72.725178951592795</v>
      </c>
      <c r="N63" s="5" t="s">
        <v>102</v>
      </c>
      <c r="O63">
        <v>7</v>
      </c>
      <c r="P63">
        <v>2</v>
      </c>
    </row>
    <row r="64" spans="1:17">
      <c r="A64">
        <v>10982</v>
      </c>
      <c r="B64" s="6">
        <v>45079.907789351855</v>
      </c>
      <c r="C64">
        <v>68</v>
      </c>
      <c r="D64" t="s">
        <v>8</v>
      </c>
      <c r="E64" t="s">
        <v>7</v>
      </c>
      <c r="F64">
        <v>1365</v>
      </c>
      <c r="G64" t="s">
        <v>10</v>
      </c>
      <c r="H64" t="s">
        <v>19</v>
      </c>
      <c r="I64" t="s">
        <v>40</v>
      </c>
      <c r="J64">
        <v>50.89</v>
      </c>
      <c r="K64">
        <v>2</v>
      </c>
      <c r="L64">
        <v>101.78</v>
      </c>
      <c r="M64" s="5" t="s">
        <v>101</v>
      </c>
      <c r="N64" s="5" t="s">
        <v>100</v>
      </c>
      <c r="O64">
        <v>3</v>
      </c>
      <c r="P64">
        <v>2</v>
      </c>
      <c r="Q64">
        <v>1</v>
      </c>
    </row>
    <row r="65" spans="1:17">
      <c r="A65">
        <v>47314</v>
      </c>
      <c r="B65" s="6">
        <v>45590.156446759262</v>
      </c>
      <c r="C65">
        <v>47</v>
      </c>
      <c r="D65" t="s">
        <v>21</v>
      </c>
      <c r="E65" t="s">
        <v>17</v>
      </c>
      <c r="F65">
        <v>29412</v>
      </c>
      <c r="G65" t="s">
        <v>10</v>
      </c>
      <c r="H65" t="s">
        <v>16</v>
      </c>
      <c r="I65" t="s">
        <v>24</v>
      </c>
      <c r="J65">
        <v>62.58</v>
      </c>
      <c r="O65">
        <v>4</v>
      </c>
      <c r="P65">
        <v>5</v>
      </c>
      <c r="Q65">
        <v>0</v>
      </c>
    </row>
    <row r="66" spans="1:17">
      <c r="A66">
        <v>27071</v>
      </c>
      <c r="B66" s="6">
        <v>45538.830312500002</v>
      </c>
      <c r="C66">
        <v>9</v>
      </c>
      <c r="D66" t="s">
        <v>33</v>
      </c>
      <c r="E66" t="s">
        <v>7</v>
      </c>
      <c r="F66">
        <v>3728</v>
      </c>
      <c r="G66" t="s">
        <v>2</v>
      </c>
      <c r="H66" t="s">
        <v>19</v>
      </c>
      <c r="I66" t="s">
        <v>18</v>
      </c>
      <c r="J66">
        <v>46.23</v>
      </c>
      <c r="K66">
        <v>0</v>
      </c>
      <c r="L66">
        <v>0</v>
      </c>
      <c r="M66">
        <v>0</v>
      </c>
      <c r="N66">
        <v>0</v>
      </c>
      <c r="O66">
        <v>4</v>
      </c>
      <c r="P66">
        <v>3</v>
      </c>
      <c r="Q66">
        <v>0</v>
      </c>
    </row>
    <row r="67" spans="1:17">
      <c r="A67">
        <v>6686</v>
      </c>
      <c r="B67" s="6">
        <v>45501.874155092592</v>
      </c>
      <c r="C67">
        <v>26</v>
      </c>
      <c r="D67" t="s">
        <v>21</v>
      </c>
      <c r="E67" t="s">
        <v>17</v>
      </c>
      <c r="F67">
        <v>19575</v>
      </c>
      <c r="G67" t="s">
        <v>10</v>
      </c>
      <c r="H67" t="s">
        <v>23</v>
      </c>
      <c r="I67" t="s">
        <v>34</v>
      </c>
      <c r="J67">
        <v>40.9</v>
      </c>
      <c r="K67">
        <v>2</v>
      </c>
      <c r="L67">
        <v>81.8</v>
      </c>
      <c r="M67">
        <v>54.908055008638499</v>
      </c>
      <c r="N67" s="5" t="s">
        <v>99</v>
      </c>
      <c r="O67">
        <v>2</v>
      </c>
      <c r="P67">
        <v>1</v>
      </c>
      <c r="Q67">
        <v>0</v>
      </c>
    </row>
    <row r="68" spans="1:17">
      <c r="A68">
        <v>54961</v>
      </c>
      <c r="B68" s="6">
        <v>44940.950092592589</v>
      </c>
      <c r="C68">
        <v>53</v>
      </c>
      <c r="D68" t="s">
        <v>33</v>
      </c>
      <c r="E68" t="s">
        <v>27</v>
      </c>
      <c r="F68">
        <v>15682</v>
      </c>
      <c r="G68" t="s">
        <v>6</v>
      </c>
      <c r="H68" t="s">
        <v>23</v>
      </c>
      <c r="I68" t="s">
        <v>34</v>
      </c>
      <c r="J68">
        <v>54.67</v>
      </c>
      <c r="K68">
        <v>1</v>
      </c>
      <c r="L68">
        <v>54.67</v>
      </c>
      <c r="O68">
        <v>4</v>
      </c>
      <c r="P68">
        <v>4</v>
      </c>
      <c r="Q68">
        <v>0</v>
      </c>
    </row>
    <row r="69" spans="1:17">
      <c r="A69">
        <v>58126</v>
      </c>
      <c r="B69" s="6">
        <v>45232.87462962963</v>
      </c>
      <c r="C69">
        <v>64</v>
      </c>
      <c r="D69" t="s">
        <v>15</v>
      </c>
      <c r="E69" t="s">
        <v>11</v>
      </c>
      <c r="F69">
        <v>12230</v>
      </c>
      <c r="G69" t="s">
        <v>14</v>
      </c>
      <c r="H69" t="s">
        <v>16</v>
      </c>
      <c r="I69" t="s">
        <v>36</v>
      </c>
      <c r="J69">
        <v>74.44</v>
      </c>
      <c r="K69">
        <v>4</v>
      </c>
      <c r="L69">
        <v>297.76</v>
      </c>
      <c r="M69" s="5" t="s">
        <v>97</v>
      </c>
      <c r="N69" s="5" t="s">
        <v>96</v>
      </c>
      <c r="O69">
        <v>1</v>
      </c>
      <c r="P69">
        <v>3</v>
      </c>
      <c r="Q69">
        <v>0</v>
      </c>
    </row>
    <row r="70" spans="1:17">
      <c r="A70">
        <v>40701</v>
      </c>
      <c r="B70" s="6">
        <v>45906.656875000001</v>
      </c>
      <c r="C70">
        <v>65</v>
      </c>
      <c r="D70" t="s">
        <v>15</v>
      </c>
      <c r="E70" t="s">
        <v>30</v>
      </c>
      <c r="F70">
        <v>25511</v>
      </c>
      <c r="G70" t="s">
        <v>10</v>
      </c>
      <c r="H70" t="s">
        <v>16</v>
      </c>
      <c r="J70">
        <v>125.97</v>
      </c>
      <c r="K70">
        <v>7</v>
      </c>
      <c r="L70">
        <v>881.79</v>
      </c>
      <c r="M70" s="5" t="s">
        <v>94</v>
      </c>
      <c r="N70" s="5" t="s">
        <v>93</v>
      </c>
      <c r="O70">
        <v>2</v>
      </c>
      <c r="P70">
        <v>4</v>
      </c>
      <c r="Q70">
        <v>0</v>
      </c>
    </row>
    <row r="71" spans="1:17">
      <c r="A71">
        <v>13903</v>
      </c>
      <c r="B71" s="6">
        <v>45484.833182870374</v>
      </c>
      <c r="C71">
        <v>11</v>
      </c>
      <c r="D71" t="s">
        <v>8</v>
      </c>
      <c r="E71" t="s">
        <v>3</v>
      </c>
      <c r="F71">
        <v>2819</v>
      </c>
      <c r="G71" t="s">
        <v>2</v>
      </c>
      <c r="H71" t="s">
        <v>23</v>
      </c>
      <c r="I71" t="s">
        <v>39</v>
      </c>
      <c r="J71">
        <v>128.58000000000001</v>
      </c>
      <c r="K71">
        <v>0</v>
      </c>
      <c r="L71">
        <v>0</v>
      </c>
      <c r="M71">
        <v>0</v>
      </c>
      <c r="N71">
        <v>0</v>
      </c>
      <c r="O71">
        <v>3</v>
      </c>
      <c r="P71">
        <v>4</v>
      </c>
      <c r="Q71">
        <v>1</v>
      </c>
    </row>
    <row r="72" spans="1:17">
      <c r="A72">
        <v>31540</v>
      </c>
      <c r="B72" s="6">
        <v>45517.30945601852</v>
      </c>
      <c r="C72">
        <v>60</v>
      </c>
      <c r="D72" t="s">
        <v>15</v>
      </c>
      <c r="E72" t="s">
        <v>7</v>
      </c>
      <c r="F72">
        <v>20375</v>
      </c>
      <c r="G72" t="s">
        <v>14</v>
      </c>
      <c r="H72" t="s">
        <v>19</v>
      </c>
      <c r="I72" t="s">
        <v>40</v>
      </c>
      <c r="J72">
        <v>62.24</v>
      </c>
      <c r="K72">
        <v>3</v>
      </c>
      <c r="L72">
        <v>186.72</v>
      </c>
      <c r="M72">
        <v>89.377510894278103</v>
      </c>
      <c r="N72" s="5" t="s">
        <v>92</v>
      </c>
      <c r="O72">
        <v>4</v>
      </c>
      <c r="P72">
        <v>1</v>
      </c>
      <c r="Q72">
        <v>0</v>
      </c>
    </row>
    <row r="73" spans="1:17">
      <c r="A73">
        <v>49717</v>
      </c>
      <c r="B73" s="6">
        <v>45415.186111111114</v>
      </c>
      <c r="C73">
        <v>7</v>
      </c>
      <c r="D73" t="s">
        <v>21</v>
      </c>
      <c r="E73" t="s">
        <v>3</v>
      </c>
      <c r="F73">
        <v>28873</v>
      </c>
      <c r="G73" t="s">
        <v>6</v>
      </c>
      <c r="H73" t="s">
        <v>19</v>
      </c>
      <c r="I73" t="s">
        <v>26</v>
      </c>
      <c r="J73">
        <v>126.61</v>
      </c>
      <c r="K73">
        <v>1</v>
      </c>
      <c r="L73">
        <v>126.61</v>
      </c>
      <c r="M73" s="5" t="s">
        <v>91</v>
      </c>
      <c r="N73" s="5" t="s">
        <v>90</v>
      </c>
      <c r="O73">
        <v>9</v>
      </c>
      <c r="P73">
        <v>1</v>
      </c>
      <c r="Q73">
        <v>0</v>
      </c>
    </row>
    <row r="74" spans="1:17">
      <c r="A74">
        <v>49520</v>
      </c>
      <c r="B74" s="6">
        <v>45651.887361111112</v>
      </c>
      <c r="C74">
        <v>55</v>
      </c>
      <c r="D74" t="s">
        <v>15</v>
      </c>
      <c r="E74" t="s">
        <v>27</v>
      </c>
      <c r="F74">
        <v>911</v>
      </c>
      <c r="G74" t="s">
        <v>14</v>
      </c>
      <c r="H74" t="s">
        <v>23</v>
      </c>
      <c r="I74" t="s">
        <v>34</v>
      </c>
      <c r="J74">
        <v>39.409999999999997</v>
      </c>
      <c r="K74">
        <v>4</v>
      </c>
      <c r="L74">
        <v>157.63999999999999</v>
      </c>
      <c r="M74" s="5" t="s">
        <v>89</v>
      </c>
      <c r="N74" s="5" t="s">
        <v>88</v>
      </c>
      <c r="O74">
        <v>7</v>
      </c>
      <c r="P74">
        <v>1</v>
      </c>
      <c r="Q74">
        <v>0</v>
      </c>
    </row>
    <row r="75" spans="1:17">
      <c r="A75">
        <v>51924</v>
      </c>
      <c r="B75" s="6">
        <v>45931.089247685188</v>
      </c>
      <c r="C75">
        <v>18</v>
      </c>
      <c r="D75" t="s">
        <v>13</v>
      </c>
      <c r="E75" t="s">
        <v>27</v>
      </c>
      <c r="F75">
        <v>18062</v>
      </c>
      <c r="G75" t="s">
        <v>14</v>
      </c>
      <c r="H75" t="s">
        <v>16</v>
      </c>
      <c r="I75" t="s">
        <v>24</v>
      </c>
      <c r="J75">
        <v>85.89</v>
      </c>
      <c r="K75">
        <v>3</v>
      </c>
      <c r="L75">
        <v>257.67</v>
      </c>
      <c r="M75" s="5" t="s">
        <v>87</v>
      </c>
      <c r="N75" s="5" t="s">
        <v>86</v>
      </c>
      <c r="O75">
        <v>1</v>
      </c>
      <c r="P75">
        <v>2</v>
      </c>
      <c r="Q75">
        <v>0</v>
      </c>
    </row>
    <row r="76" spans="1:17">
      <c r="A76">
        <v>3503</v>
      </c>
      <c r="B76" s="6">
        <v>45951.04414351852</v>
      </c>
      <c r="C76">
        <v>28</v>
      </c>
      <c r="D76" t="s">
        <v>8</v>
      </c>
      <c r="E76" t="s">
        <v>11</v>
      </c>
      <c r="F76">
        <v>552</v>
      </c>
      <c r="G76" t="s">
        <v>10</v>
      </c>
      <c r="H76" t="s">
        <v>9</v>
      </c>
      <c r="I76" t="s">
        <v>32</v>
      </c>
      <c r="J76">
        <v>16.7</v>
      </c>
      <c r="K76">
        <v>1</v>
      </c>
      <c r="L76">
        <v>16.7</v>
      </c>
      <c r="M76" s="5" t="s">
        <v>85</v>
      </c>
      <c r="N76" s="5" t="s">
        <v>84</v>
      </c>
      <c r="O76">
        <v>4</v>
      </c>
      <c r="P76">
        <v>2</v>
      </c>
      <c r="Q76">
        <v>0</v>
      </c>
    </row>
    <row r="77" spans="1:17">
      <c r="A77">
        <v>39337</v>
      </c>
      <c r="B77" s="6">
        <v>45537.24019675926</v>
      </c>
      <c r="C77">
        <v>64</v>
      </c>
      <c r="D77" t="s">
        <v>8</v>
      </c>
      <c r="E77" t="s">
        <v>17</v>
      </c>
      <c r="F77">
        <v>8403</v>
      </c>
      <c r="G77" t="s">
        <v>14</v>
      </c>
      <c r="H77" t="s">
        <v>9</v>
      </c>
      <c r="I77" t="s">
        <v>32</v>
      </c>
      <c r="J77">
        <v>107.82</v>
      </c>
      <c r="K77">
        <v>8</v>
      </c>
      <c r="L77">
        <v>862.56</v>
      </c>
      <c r="M77" s="5" t="s">
        <v>83</v>
      </c>
      <c r="N77" s="5" t="s">
        <v>82</v>
      </c>
      <c r="O77">
        <v>3</v>
      </c>
      <c r="P77">
        <v>1</v>
      </c>
      <c r="Q77">
        <v>0</v>
      </c>
    </row>
    <row r="78" spans="1:17">
      <c r="A78">
        <v>2219</v>
      </c>
      <c r="B78" s="6">
        <v>45718.921157407407</v>
      </c>
      <c r="C78">
        <v>34</v>
      </c>
      <c r="D78" t="s">
        <v>4</v>
      </c>
      <c r="E78" t="s">
        <v>27</v>
      </c>
      <c r="F78">
        <v>27443</v>
      </c>
      <c r="G78" t="s">
        <v>10</v>
      </c>
      <c r="H78" t="s">
        <v>9</v>
      </c>
      <c r="I78" t="s">
        <v>37</v>
      </c>
      <c r="J78">
        <v>44.67</v>
      </c>
      <c r="K78">
        <v>3</v>
      </c>
      <c r="L78">
        <v>134.01</v>
      </c>
      <c r="O78">
        <v>1</v>
      </c>
      <c r="P78">
        <v>1</v>
      </c>
    </row>
    <row r="79" spans="1:17">
      <c r="A79">
        <v>18506</v>
      </c>
      <c r="B79" s="6">
        <v>44957.324629629627</v>
      </c>
      <c r="C79">
        <v>19</v>
      </c>
      <c r="D79" t="s">
        <v>15</v>
      </c>
      <c r="E79" t="s">
        <v>7</v>
      </c>
      <c r="F79">
        <v>4745</v>
      </c>
      <c r="G79" t="s">
        <v>14</v>
      </c>
      <c r="H79" t="s">
        <v>23</v>
      </c>
      <c r="I79" t="s">
        <v>22</v>
      </c>
      <c r="J79">
        <v>32.26</v>
      </c>
      <c r="K79">
        <v>6</v>
      </c>
      <c r="L79">
        <v>193.56</v>
      </c>
      <c r="M79">
        <v>69.292445472787406</v>
      </c>
      <c r="N79" s="5" t="s">
        <v>80</v>
      </c>
      <c r="O79">
        <v>2</v>
      </c>
      <c r="P79">
        <v>1</v>
      </c>
      <c r="Q79">
        <v>0</v>
      </c>
    </row>
    <row r="80" spans="1:17">
      <c r="A80">
        <v>10690</v>
      </c>
      <c r="B80" s="6">
        <v>45763.114502314813</v>
      </c>
      <c r="C80">
        <v>36</v>
      </c>
      <c r="D80" t="s">
        <v>21</v>
      </c>
      <c r="E80" t="s">
        <v>17</v>
      </c>
      <c r="F80">
        <v>7762</v>
      </c>
      <c r="G80" t="s">
        <v>2</v>
      </c>
      <c r="H80" t="s">
        <v>23</v>
      </c>
      <c r="I80" t="s">
        <v>25</v>
      </c>
      <c r="J80">
        <v>100.38</v>
      </c>
      <c r="K80">
        <v>1</v>
      </c>
      <c r="L80">
        <v>100.38</v>
      </c>
      <c r="M80" s="5" t="s">
        <v>79</v>
      </c>
      <c r="N80" s="5" t="s">
        <v>78</v>
      </c>
      <c r="O80">
        <v>2</v>
      </c>
      <c r="P80">
        <v>5</v>
      </c>
      <c r="Q80">
        <v>0</v>
      </c>
    </row>
    <row r="81" spans="1:17">
      <c r="A81">
        <v>21378</v>
      </c>
      <c r="B81" s="6">
        <v>44935.43855324074</v>
      </c>
      <c r="C81">
        <v>37</v>
      </c>
      <c r="D81" t="s">
        <v>8</v>
      </c>
      <c r="E81" t="s">
        <v>11</v>
      </c>
      <c r="F81">
        <v>6675</v>
      </c>
      <c r="G81" t="s">
        <v>10</v>
      </c>
      <c r="H81" t="s">
        <v>16</v>
      </c>
      <c r="I81" t="s">
        <v>36</v>
      </c>
      <c r="J81">
        <v>225.45</v>
      </c>
      <c r="K81">
        <v>4</v>
      </c>
      <c r="L81">
        <v>901.8</v>
      </c>
      <c r="O81">
        <v>2</v>
      </c>
      <c r="P81">
        <v>2</v>
      </c>
      <c r="Q81">
        <v>1</v>
      </c>
    </row>
    <row r="82" spans="1:17">
      <c r="A82">
        <v>1867</v>
      </c>
      <c r="B82" s="6">
        <v>45740.203506944446</v>
      </c>
      <c r="C82">
        <v>57</v>
      </c>
      <c r="D82" t="s">
        <v>8</v>
      </c>
      <c r="E82" t="s">
        <v>27</v>
      </c>
      <c r="F82">
        <v>27284</v>
      </c>
      <c r="G82" t="s">
        <v>14</v>
      </c>
      <c r="H82" t="s">
        <v>9</v>
      </c>
      <c r="I82" t="s">
        <v>37</v>
      </c>
      <c r="J82">
        <v>28.51</v>
      </c>
      <c r="K82">
        <v>3</v>
      </c>
      <c r="L82">
        <v>85.53</v>
      </c>
      <c r="M82" s="5" t="s">
        <v>76</v>
      </c>
      <c r="N82" s="5" t="s">
        <v>75</v>
      </c>
      <c r="O82">
        <v>3</v>
      </c>
      <c r="P82">
        <v>5</v>
      </c>
      <c r="Q82">
        <v>0</v>
      </c>
    </row>
    <row r="83" spans="1:17">
      <c r="A83">
        <v>20193</v>
      </c>
      <c r="B83" s="6">
        <v>45675.592951388891</v>
      </c>
      <c r="C83">
        <v>73</v>
      </c>
      <c r="D83" t="s">
        <v>21</v>
      </c>
      <c r="E83" t="s">
        <v>11</v>
      </c>
      <c r="F83">
        <v>19058</v>
      </c>
      <c r="G83" t="s">
        <v>2</v>
      </c>
      <c r="H83" t="s">
        <v>23</v>
      </c>
      <c r="I83" t="s">
        <v>34</v>
      </c>
      <c r="J83">
        <v>49.03</v>
      </c>
      <c r="K83">
        <v>4</v>
      </c>
      <c r="L83">
        <v>196.12</v>
      </c>
      <c r="M83" s="5" t="s">
        <v>73</v>
      </c>
      <c r="N83" s="5" t="s">
        <v>72</v>
      </c>
      <c r="O83">
        <v>4</v>
      </c>
      <c r="P83">
        <v>4</v>
      </c>
      <c r="Q83">
        <v>0</v>
      </c>
    </row>
    <row r="84" spans="1:17">
      <c r="A84">
        <v>28871</v>
      </c>
      <c r="B84" s="6">
        <v>45896.53052083333</v>
      </c>
      <c r="C84">
        <v>79</v>
      </c>
      <c r="D84" t="s">
        <v>4</v>
      </c>
      <c r="E84" t="s">
        <v>7</v>
      </c>
      <c r="F84">
        <v>623</v>
      </c>
      <c r="G84" t="s">
        <v>10</v>
      </c>
      <c r="H84" t="s">
        <v>1</v>
      </c>
      <c r="J84">
        <v>99.65</v>
      </c>
      <c r="K84">
        <v>4</v>
      </c>
      <c r="L84">
        <v>398.6</v>
      </c>
      <c r="O84">
        <v>5</v>
      </c>
      <c r="P84">
        <v>5</v>
      </c>
      <c r="Q84">
        <v>0</v>
      </c>
    </row>
    <row r="85" spans="1:17">
      <c r="A85">
        <v>52204</v>
      </c>
      <c r="B85" s="6">
        <v>45067.492129629631</v>
      </c>
      <c r="C85">
        <v>34</v>
      </c>
      <c r="D85" t="s">
        <v>8</v>
      </c>
      <c r="E85" t="s">
        <v>17</v>
      </c>
      <c r="F85">
        <v>16662</v>
      </c>
      <c r="G85" t="s">
        <v>2</v>
      </c>
      <c r="H85" t="s">
        <v>1</v>
      </c>
      <c r="I85" t="s">
        <v>38</v>
      </c>
      <c r="J85">
        <v>121.31</v>
      </c>
      <c r="K85">
        <v>3</v>
      </c>
      <c r="L85">
        <v>363.93</v>
      </c>
      <c r="M85" s="5" t="s">
        <v>71</v>
      </c>
      <c r="N85" s="5" t="s">
        <v>70</v>
      </c>
      <c r="O85">
        <v>7</v>
      </c>
      <c r="P85">
        <v>5</v>
      </c>
      <c r="Q85">
        <v>0</v>
      </c>
    </row>
    <row r="86" spans="1:17">
      <c r="A86">
        <v>3868</v>
      </c>
      <c r="B86" s="6">
        <v>45561.763657407406</v>
      </c>
      <c r="C86">
        <v>42</v>
      </c>
      <c r="D86" t="s">
        <v>13</v>
      </c>
      <c r="E86" t="s">
        <v>17</v>
      </c>
      <c r="F86">
        <v>28145</v>
      </c>
      <c r="G86" t="s">
        <v>6</v>
      </c>
      <c r="H86" t="s">
        <v>9</v>
      </c>
      <c r="I86" t="s">
        <v>32</v>
      </c>
      <c r="J86">
        <v>16.82</v>
      </c>
      <c r="K86">
        <v>2</v>
      </c>
      <c r="L86">
        <v>33.64</v>
      </c>
      <c r="M86" s="5" t="s">
        <v>69</v>
      </c>
      <c r="N86">
        <v>9.5002911336875897</v>
      </c>
      <c r="O86">
        <v>3</v>
      </c>
      <c r="P86">
        <v>3</v>
      </c>
      <c r="Q86">
        <v>1</v>
      </c>
    </row>
    <row r="87" spans="1:17">
      <c r="A87">
        <v>3223</v>
      </c>
      <c r="B87" s="6">
        <v>45382.460115740738</v>
      </c>
      <c r="C87">
        <v>29</v>
      </c>
      <c r="D87" t="s">
        <v>13</v>
      </c>
      <c r="E87" t="s">
        <v>30</v>
      </c>
      <c r="F87">
        <v>21240</v>
      </c>
      <c r="G87" t="s">
        <v>2</v>
      </c>
      <c r="H87" t="s">
        <v>23</v>
      </c>
      <c r="I87" t="s">
        <v>25</v>
      </c>
      <c r="J87">
        <v>75.959999999999994</v>
      </c>
      <c r="K87">
        <v>2</v>
      </c>
      <c r="L87">
        <v>151.91999999999999</v>
      </c>
      <c r="M87" s="5" t="s">
        <v>68</v>
      </c>
      <c r="N87" s="5" t="s">
        <v>67</v>
      </c>
      <c r="O87">
        <v>9</v>
      </c>
      <c r="P87">
        <v>5</v>
      </c>
      <c r="Q87">
        <v>0</v>
      </c>
    </row>
    <row r="88" spans="1:17">
      <c r="A88">
        <v>21786</v>
      </c>
      <c r="B88" s="6">
        <v>45472.907476851855</v>
      </c>
      <c r="C88">
        <v>48</v>
      </c>
      <c r="D88" t="s">
        <v>21</v>
      </c>
      <c r="E88" t="s">
        <v>30</v>
      </c>
      <c r="F88">
        <v>14264</v>
      </c>
      <c r="G88" t="s">
        <v>14</v>
      </c>
      <c r="H88" t="s">
        <v>23</v>
      </c>
      <c r="I88" t="s">
        <v>25</v>
      </c>
      <c r="J88">
        <v>32.43</v>
      </c>
      <c r="K88">
        <v>2</v>
      </c>
      <c r="L88">
        <v>64.86</v>
      </c>
      <c r="M88" s="5" t="s">
        <v>66</v>
      </c>
      <c r="N88">
        <v>16.919999822409899</v>
      </c>
      <c r="O88">
        <v>1</v>
      </c>
      <c r="P88">
        <v>3</v>
      </c>
      <c r="Q88">
        <v>0</v>
      </c>
    </row>
    <row r="89" spans="1:17">
      <c r="A89">
        <v>20985</v>
      </c>
      <c r="B89" s="6">
        <v>45751.514872685184</v>
      </c>
      <c r="C89">
        <v>23</v>
      </c>
      <c r="D89" t="s">
        <v>15</v>
      </c>
      <c r="E89" t="s">
        <v>3</v>
      </c>
      <c r="F89">
        <v>26498</v>
      </c>
      <c r="G89" t="s">
        <v>2</v>
      </c>
      <c r="H89" t="s">
        <v>23</v>
      </c>
      <c r="I89" t="s">
        <v>34</v>
      </c>
      <c r="J89">
        <v>63.07</v>
      </c>
      <c r="K89">
        <v>0</v>
      </c>
      <c r="L89">
        <v>0</v>
      </c>
      <c r="M89">
        <v>0</v>
      </c>
      <c r="N89">
        <v>0</v>
      </c>
      <c r="O89">
        <v>8</v>
      </c>
      <c r="P89">
        <v>1</v>
      </c>
      <c r="Q89">
        <v>0</v>
      </c>
    </row>
    <row r="90" spans="1:17">
      <c r="A90">
        <v>48540</v>
      </c>
      <c r="B90" s="6">
        <v>44933.760335648149</v>
      </c>
      <c r="C90">
        <v>66</v>
      </c>
      <c r="D90" t="s">
        <v>13</v>
      </c>
      <c r="E90" t="s">
        <v>17</v>
      </c>
      <c r="F90">
        <v>15160</v>
      </c>
      <c r="G90" t="s">
        <v>2</v>
      </c>
      <c r="H90" t="s">
        <v>1</v>
      </c>
      <c r="I90" t="s">
        <v>5</v>
      </c>
      <c r="J90">
        <v>51.57</v>
      </c>
      <c r="K90">
        <v>1</v>
      </c>
      <c r="L90">
        <v>51.57</v>
      </c>
      <c r="M90" s="5" t="s">
        <v>64</v>
      </c>
      <c r="N90" s="5" t="s">
        <v>63</v>
      </c>
      <c r="O90">
        <v>6</v>
      </c>
      <c r="P90">
        <v>3</v>
      </c>
      <c r="Q90">
        <v>0</v>
      </c>
    </row>
    <row r="91" spans="1:17">
      <c r="A91">
        <v>40695</v>
      </c>
      <c r="B91" s="6">
        <v>45415.442175925928</v>
      </c>
      <c r="C91">
        <v>22</v>
      </c>
      <c r="D91" t="s">
        <v>8</v>
      </c>
      <c r="E91" t="s">
        <v>27</v>
      </c>
      <c r="F91">
        <v>6719</v>
      </c>
      <c r="G91" t="s">
        <v>10</v>
      </c>
      <c r="H91" t="s">
        <v>16</v>
      </c>
      <c r="I91" t="s">
        <v>29</v>
      </c>
      <c r="J91">
        <v>145.08000000000001</v>
      </c>
      <c r="K91">
        <v>2</v>
      </c>
      <c r="L91">
        <v>290.16000000000003</v>
      </c>
      <c r="O91">
        <v>4</v>
      </c>
      <c r="P91">
        <v>2</v>
      </c>
      <c r="Q91">
        <v>0</v>
      </c>
    </row>
    <row r="92" spans="1:17">
      <c r="A92">
        <v>8441</v>
      </c>
      <c r="B92" s="6">
        <v>45855.010405092595</v>
      </c>
      <c r="C92">
        <v>18</v>
      </c>
      <c r="D92" t="s">
        <v>15</v>
      </c>
      <c r="E92" t="s">
        <v>30</v>
      </c>
      <c r="F92">
        <v>4600</v>
      </c>
      <c r="G92" t="s">
        <v>14</v>
      </c>
      <c r="H92" t="s">
        <v>19</v>
      </c>
      <c r="I92" t="s">
        <v>18</v>
      </c>
      <c r="J92">
        <v>89.42</v>
      </c>
      <c r="K92">
        <v>1</v>
      </c>
      <c r="L92">
        <v>89.42</v>
      </c>
      <c r="M92" s="5" t="s">
        <v>62</v>
      </c>
      <c r="N92" s="5" t="s">
        <v>61</v>
      </c>
      <c r="O92">
        <v>1</v>
      </c>
      <c r="P92">
        <v>1</v>
      </c>
      <c r="Q92">
        <v>0</v>
      </c>
    </row>
    <row r="93" spans="1:17">
      <c r="A93">
        <v>9952</v>
      </c>
      <c r="B93" s="6">
        <v>45908.019525462965</v>
      </c>
      <c r="C93">
        <v>71</v>
      </c>
      <c r="D93" t="s">
        <v>21</v>
      </c>
      <c r="E93" t="s">
        <v>27</v>
      </c>
      <c r="F93">
        <v>6854</v>
      </c>
      <c r="G93" t="s">
        <v>14</v>
      </c>
      <c r="H93" t="s">
        <v>1</v>
      </c>
      <c r="J93">
        <v>65.95</v>
      </c>
      <c r="K93">
        <v>4</v>
      </c>
      <c r="L93">
        <v>263.8</v>
      </c>
      <c r="O93">
        <v>9</v>
      </c>
      <c r="P93">
        <v>1</v>
      </c>
      <c r="Q93">
        <v>0</v>
      </c>
    </row>
    <row r="94" spans="1:17">
      <c r="A94">
        <v>1335</v>
      </c>
      <c r="B94" s="6">
        <v>45481.812731481485</v>
      </c>
      <c r="C94">
        <v>83</v>
      </c>
      <c r="D94" t="s">
        <v>21</v>
      </c>
      <c r="E94" t="s">
        <v>17</v>
      </c>
      <c r="F94">
        <v>21466</v>
      </c>
      <c r="G94" t="s">
        <v>6</v>
      </c>
      <c r="H94" t="s">
        <v>1</v>
      </c>
      <c r="I94" t="s">
        <v>38</v>
      </c>
      <c r="J94">
        <v>47.77</v>
      </c>
      <c r="K94">
        <v>3</v>
      </c>
      <c r="L94">
        <v>143.31</v>
      </c>
      <c r="M94" s="5" t="s">
        <v>60</v>
      </c>
      <c r="N94" s="5" t="s">
        <v>59</v>
      </c>
      <c r="O94">
        <v>2</v>
      </c>
      <c r="Q94">
        <v>0</v>
      </c>
    </row>
    <row r="95" spans="1:17">
      <c r="A95">
        <v>32573</v>
      </c>
      <c r="B95" s="6">
        <v>45415.513645833336</v>
      </c>
      <c r="C95">
        <v>2</v>
      </c>
      <c r="D95" t="s">
        <v>8</v>
      </c>
      <c r="E95" t="s">
        <v>27</v>
      </c>
      <c r="F95">
        <v>9211</v>
      </c>
      <c r="G95" t="s">
        <v>10</v>
      </c>
      <c r="H95" t="s">
        <v>23</v>
      </c>
      <c r="J95">
        <v>55.24</v>
      </c>
      <c r="K95">
        <v>4</v>
      </c>
      <c r="L95">
        <v>220.96</v>
      </c>
      <c r="M95" s="5" t="s">
        <v>57</v>
      </c>
      <c r="N95" s="5" t="s">
        <v>56</v>
      </c>
      <c r="O95">
        <v>1</v>
      </c>
      <c r="P95">
        <v>5</v>
      </c>
      <c r="Q95">
        <v>0</v>
      </c>
    </row>
    <row r="96" spans="1:17">
      <c r="A96">
        <v>28345</v>
      </c>
      <c r="B96" s="6">
        <v>45346.144131944442</v>
      </c>
      <c r="C96">
        <v>15</v>
      </c>
      <c r="D96" t="s">
        <v>15</v>
      </c>
      <c r="E96" t="s">
        <v>3</v>
      </c>
      <c r="F96">
        <v>132</v>
      </c>
      <c r="G96" t="s">
        <v>10</v>
      </c>
      <c r="H96" t="s">
        <v>9</v>
      </c>
      <c r="I96" t="s">
        <v>32</v>
      </c>
      <c r="J96">
        <v>90.74</v>
      </c>
      <c r="K96">
        <v>0</v>
      </c>
      <c r="L96">
        <v>0</v>
      </c>
      <c r="M96">
        <v>0</v>
      </c>
      <c r="N96">
        <v>0</v>
      </c>
      <c r="O96">
        <v>4</v>
      </c>
      <c r="P96">
        <v>5</v>
      </c>
      <c r="Q96">
        <v>0</v>
      </c>
    </row>
    <row r="97" spans="1:17">
      <c r="A97">
        <v>46504</v>
      </c>
      <c r="B97" s="6">
        <v>45841.012604166666</v>
      </c>
      <c r="C97">
        <v>67</v>
      </c>
      <c r="D97" t="s">
        <v>13</v>
      </c>
      <c r="E97" t="s">
        <v>17</v>
      </c>
      <c r="F97">
        <v>308</v>
      </c>
      <c r="G97" t="s">
        <v>6</v>
      </c>
      <c r="H97" t="s">
        <v>9</v>
      </c>
      <c r="I97" t="s">
        <v>32</v>
      </c>
      <c r="J97">
        <v>113.21</v>
      </c>
      <c r="K97">
        <v>1</v>
      </c>
      <c r="L97">
        <v>113.21</v>
      </c>
      <c r="M97" s="5" t="s">
        <v>55</v>
      </c>
      <c r="N97" s="5" t="s">
        <v>54</v>
      </c>
      <c r="O97">
        <v>1</v>
      </c>
      <c r="P97">
        <v>2</v>
      </c>
      <c r="Q97">
        <v>1</v>
      </c>
    </row>
    <row r="98" spans="1:17">
      <c r="A98">
        <v>34483</v>
      </c>
      <c r="B98" s="6">
        <v>45185.948657407411</v>
      </c>
      <c r="C98">
        <v>20</v>
      </c>
      <c r="D98" t="s">
        <v>13</v>
      </c>
      <c r="E98" t="s">
        <v>11</v>
      </c>
      <c r="F98">
        <v>20769</v>
      </c>
      <c r="G98" t="s">
        <v>10</v>
      </c>
      <c r="H98" t="s">
        <v>19</v>
      </c>
      <c r="I98" t="s">
        <v>20</v>
      </c>
      <c r="J98">
        <v>30.66</v>
      </c>
      <c r="K98">
        <v>4</v>
      </c>
      <c r="L98">
        <v>122.64</v>
      </c>
      <c r="M98" s="5" t="s">
        <v>52</v>
      </c>
      <c r="N98" s="5" t="s">
        <v>51</v>
      </c>
      <c r="O98">
        <v>2</v>
      </c>
    </row>
    <row r="99" spans="1:17">
      <c r="A99">
        <v>36272</v>
      </c>
      <c r="B99" s="6">
        <v>45193.577141203707</v>
      </c>
      <c r="C99">
        <v>17</v>
      </c>
      <c r="D99" t="s">
        <v>33</v>
      </c>
      <c r="E99" t="s">
        <v>30</v>
      </c>
      <c r="F99">
        <v>6008</v>
      </c>
      <c r="G99" t="s">
        <v>10</v>
      </c>
      <c r="H99" t="s">
        <v>23</v>
      </c>
      <c r="I99" t="s">
        <v>34</v>
      </c>
      <c r="J99">
        <v>38.090000000000003</v>
      </c>
      <c r="K99">
        <v>5</v>
      </c>
      <c r="L99" s="5" t="s">
        <v>50</v>
      </c>
      <c r="M99" s="5" t="s">
        <v>49</v>
      </c>
      <c r="N99" s="5" t="s">
        <v>48</v>
      </c>
      <c r="O99">
        <v>8</v>
      </c>
      <c r="P99">
        <v>2</v>
      </c>
      <c r="Q99">
        <v>0</v>
      </c>
    </row>
    <row r="100" spans="1:17">
      <c r="A100">
        <v>36875</v>
      </c>
      <c r="B100" s="6">
        <v>45596.170219907406</v>
      </c>
      <c r="C100">
        <v>55</v>
      </c>
      <c r="D100" t="s">
        <v>21</v>
      </c>
      <c r="E100" t="s">
        <v>30</v>
      </c>
      <c r="F100">
        <v>8389</v>
      </c>
      <c r="G100" t="s">
        <v>2</v>
      </c>
      <c r="H100" t="s">
        <v>23</v>
      </c>
      <c r="I100" t="s">
        <v>39</v>
      </c>
      <c r="J100">
        <v>59.8</v>
      </c>
      <c r="K100">
        <v>3</v>
      </c>
      <c r="L100" s="5" t="s">
        <v>42</v>
      </c>
      <c r="M100" s="5" t="s">
        <v>46</v>
      </c>
      <c r="N100" s="5" t="s">
        <v>45</v>
      </c>
      <c r="O100">
        <v>6</v>
      </c>
      <c r="P100">
        <v>3</v>
      </c>
      <c r="Q100">
        <v>0</v>
      </c>
    </row>
    <row r="101" spans="1:17">
      <c r="A101">
        <v>11513</v>
      </c>
      <c r="B101" s="6">
        <v>45341.610335648147</v>
      </c>
      <c r="C101">
        <v>37</v>
      </c>
      <c r="D101" t="s">
        <v>33</v>
      </c>
      <c r="E101" t="s">
        <v>3</v>
      </c>
      <c r="F101">
        <v>8402</v>
      </c>
      <c r="G101" t="s">
        <v>10</v>
      </c>
      <c r="H101" t="s">
        <v>23</v>
      </c>
      <c r="I101" t="s">
        <v>22</v>
      </c>
      <c r="J101">
        <v>46.61</v>
      </c>
      <c r="K101">
        <v>1</v>
      </c>
      <c r="L101">
        <v>46.61</v>
      </c>
      <c r="M101" s="5" t="s">
        <v>44</v>
      </c>
      <c r="N101">
        <v>6.5554018111072203</v>
      </c>
      <c r="O101">
        <v>3</v>
      </c>
      <c r="P101">
        <v>2</v>
      </c>
      <c r="Q101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82AC5-8FF8-4B43-BD70-AB3B4BB7220D}">
  <dimension ref="A1:AI101"/>
  <sheetViews>
    <sheetView zoomScaleNormal="100" workbookViewId="0">
      <selection activeCell="G75" sqref="G75"/>
    </sheetView>
  </sheetViews>
  <sheetFormatPr defaultRowHeight="14.4"/>
  <cols>
    <col min="1" max="1" width="9.77734375" customWidth="1"/>
    <col min="2" max="2" width="17" bestFit="1" customWidth="1"/>
    <col min="3" max="3" width="17.21875" style="3" bestFit="1" customWidth="1"/>
    <col min="4" max="4" width="17.21875" style="2" bestFit="1" customWidth="1"/>
    <col min="5" max="5" width="9.5546875" customWidth="1"/>
    <col min="6" max="6" width="10.109375" customWidth="1"/>
    <col min="7" max="7" width="13.44140625" bestFit="1" customWidth="1"/>
    <col min="8" max="8" width="9.77734375" bestFit="1" customWidth="1"/>
    <col min="9" max="9" width="14.88671875" bestFit="1" customWidth="1"/>
    <col min="10" max="10" width="13.109375" bestFit="1" customWidth="1"/>
    <col min="11" max="11" width="18.6640625" bestFit="1" customWidth="1"/>
    <col min="12" max="12" width="24.109375" bestFit="1" customWidth="1"/>
    <col min="13" max="13" width="10.109375" bestFit="1" customWidth="1"/>
    <col min="14" max="14" width="15.44140625" bestFit="1" customWidth="1"/>
    <col min="15" max="15" width="13" bestFit="1" customWidth="1"/>
    <col min="16" max="16" width="18.33203125" bestFit="1" customWidth="1"/>
    <col min="17" max="17" width="11.109375" bestFit="1" customWidth="1"/>
    <col min="18" max="18" width="18.44140625" style="1" bestFit="1" customWidth="1"/>
    <col min="19" max="19" width="9.5546875" bestFit="1" customWidth="1"/>
    <col min="20" max="20" width="14.77734375" bestFit="1" customWidth="1"/>
    <col min="21" max="21" width="18.77734375" bestFit="1" customWidth="1"/>
    <col min="22" max="22" width="17.88671875" style="1" bestFit="1" customWidth="1"/>
    <col min="23" max="23" width="18.77734375" style="1" bestFit="1" customWidth="1"/>
    <col min="24" max="24" width="16.109375" style="1" bestFit="1" customWidth="1"/>
    <col min="25" max="25" width="8.6640625" customWidth="1"/>
    <col min="26" max="26" width="11.88671875" style="1" bestFit="1" customWidth="1"/>
    <col min="27" max="27" width="18.77734375" bestFit="1" customWidth="1"/>
    <col min="28" max="28" width="12.6640625" style="1" bestFit="1" customWidth="1"/>
    <col min="29" max="29" width="14.33203125" bestFit="1" customWidth="1"/>
    <col min="30" max="30" width="14.33203125" customWidth="1"/>
    <col min="31" max="31" width="18" bestFit="1" customWidth="1"/>
    <col min="32" max="32" width="23.33203125" bestFit="1" customWidth="1"/>
    <col min="33" max="33" width="11.77734375" bestFit="1" customWidth="1"/>
    <col min="34" max="34" width="17.109375" bestFit="1" customWidth="1"/>
    <col min="35" max="35" width="26.21875" bestFit="1" customWidth="1"/>
    <col min="36" max="36" width="13.88671875" customWidth="1"/>
  </cols>
  <sheetData>
    <row r="1" spans="1:35">
      <c r="A1" t="s">
        <v>236</v>
      </c>
      <c r="B1" t="s">
        <v>235</v>
      </c>
      <c r="C1" s="3" t="s">
        <v>234</v>
      </c>
      <c r="D1" s="2" t="s">
        <v>233</v>
      </c>
      <c r="E1" t="s">
        <v>232</v>
      </c>
      <c r="F1" t="s">
        <v>231</v>
      </c>
      <c r="G1" t="s">
        <v>230</v>
      </c>
      <c r="H1" t="s">
        <v>229</v>
      </c>
      <c r="I1" t="s">
        <v>228</v>
      </c>
      <c r="J1" t="s">
        <v>227</v>
      </c>
      <c r="K1" t="s">
        <v>226</v>
      </c>
      <c r="L1" t="s">
        <v>225</v>
      </c>
      <c r="M1" t="s">
        <v>224</v>
      </c>
      <c r="N1" t="s">
        <v>223</v>
      </c>
      <c r="O1" t="s">
        <v>222</v>
      </c>
      <c r="P1" t="s">
        <v>221</v>
      </c>
      <c r="Q1" t="s">
        <v>220</v>
      </c>
      <c r="R1" s="1" t="s">
        <v>219</v>
      </c>
      <c r="S1" t="s">
        <v>218</v>
      </c>
      <c r="T1" t="s">
        <v>217</v>
      </c>
      <c r="U1" t="s">
        <v>216</v>
      </c>
      <c r="V1" s="1" t="s">
        <v>215</v>
      </c>
      <c r="W1" s="1" t="s">
        <v>214</v>
      </c>
      <c r="X1" s="1" t="s">
        <v>213</v>
      </c>
      <c r="Y1" t="s">
        <v>212</v>
      </c>
      <c r="Z1" s="1" t="s">
        <v>211</v>
      </c>
      <c r="AA1" t="s">
        <v>210</v>
      </c>
      <c r="AB1" s="1" t="s">
        <v>209</v>
      </c>
      <c r="AC1" t="s">
        <v>208</v>
      </c>
      <c r="AD1" t="s">
        <v>207</v>
      </c>
      <c r="AE1" t="s">
        <v>206</v>
      </c>
      <c r="AF1" t="s">
        <v>205</v>
      </c>
      <c r="AG1" t="s">
        <v>204</v>
      </c>
      <c r="AH1" t="s">
        <v>203</v>
      </c>
      <c r="AI1" t="s">
        <v>202</v>
      </c>
    </row>
    <row r="2" spans="1:35">
      <c r="A2">
        <v>12629</v>
      </c>
      <c r="B2" s="6">
        <v>45573.484236111108</v>
      </c>
      <c r="C2" s="3">
        <f t="shared" ref="C2:C65" si="0">INT(B2)</f>
        <v>45573</v>
      </c>
      <c r="D2" s="2">
        <f t="shared" ref="D2:D65" si="1">MOD(B2,1)</f>
        <v>0.484236111107748</v>
      </c>
      <c r="E2">
        <v>21</v>
      </c>
      <c r="F2" t="s">
        <v>33</v>
      </c>
      <c r="G2" t="str">
        <f t="shared" ref="G2:G65" si="2" xml:space="preserve"> PROPER(TRIM(CLEAN(SUBSTITUTE(F2,CHAR(160)," "))))</f>
        <v>South</v>
      </c>
      <c r="H2" t="s">
        <v>17</v>
      </c>
      <c r="I2" t="str">
        <f t="shared" ref="I2:I65" si="3">PROPER(TRIM(CLEAN((SUBSTITUTE(H2,"-"," ")))))</f>
        <v>Online</v>
      </c>
      <c r="J2">
        <v>3029</v>
      </c>
      <c r="K2" t="s">
        <v>14</v>
      </c>
      <c r="L2" t="str">
        <f t="shared" ref="L2:L65" si="4" xml:space="preserve"> PROPER(TRIM(CLEAN(SUBSTITUTE(K2,CHAR(160)," "))))</f>
        <v>Consumer</v>
      </c>
      <c r="M2" t="s">
        <v>23</v>
      </c>
      <c r="N2" t="str">
        <f t="shared" ref="N2:N65" si="5" xml:space="preserve"> PROPER(TRIM(CLEAN(SUBSTITUTE(M2,CHAR(160)," "))))</f>
        <v>Electronics</v>
      </c>
      <c r="O2" t="s">
        <v>25</v>
      </c>
      <c r="P2" t="str">
        <f>IF(LEN(TRIM(Table1[[#This Row],[subcategory]]&amp;""))=0,"Unknown", PROPER(TRIM(Table1[[#This Row],[subcategory]])))</f>
        <v>Laptops</v>
      </c>
      <c r="Q2">
        <v>69.11</v>
      </c>
      <c r="R2" s="1">
        <f t="shared" ref="R2:R65" si="6">IF(LEN(TRIM(Q2&amp;""))=0, "", VALUE(SUBSTITUTE(Q2,"$","")))</f>
        <v>69.11</v>
      </c>
      <c r="S2">
        <v>2</v>
      </c>
      <c r="T2">
        <f t="shared" ref="T2:T65" si="7">IF(LEN(TRIM(S2&amp;""))=0, "", VALUE(S2))</f>
        <v>2</v>
      </c>
      <c r="U2">
        <v>138.22</v>
      </c>
      <c r="V2" s="1">
        <f t="shared" ref="V2:V65" si="8">IF(LEN(TRIM(U2&amp;""))=0, "", VALUE(SUBSTITUTE(U2,"$","")))</f>
        <v>138.22</v>
      </c>
      <c r="W2" s="5">
        <v>95.510019999999997</v>
      </c>
      <c r="X2" s="4">
        <f t="shared" ref="X2:X65" si="9">IF(LEN(TRIM(W2&amp;""))=0, "", VALUE(SUBSTITUTE(W2,"$","")))</f>
        <v>95.510019999999997</v>
      </c>
      <c r="Y2" s="5">
        <v>79.177304013895096</v>
      </c>
      <c r="Z2" s="4" cm="1">
        <f t="array" ref="Z2">IF(
    LEN(TRIM(Y2&amp;""))=0,
        IF(AND(ISNUMBER(net_sales_clean), ISNUMBER(profit_clean)),
            net_sales_clean - profit_clean,
            ""
        ),
    VALUE(SUBSTITUTE(Y2,"$",""))
)</f>
        <v>79.177304013895096</v>
      </c>
      <c r="AA2" s="5" t="s">
        <v>201</v>
      </c>
      <c r="AB2" s="4" cm="1">
        <f t="array" ref="AB2">IF(
    LEN(TRIM(AA2&amp;""))=0,
        IF(AND(ISNUMBER(net_sales_clean), ISNUMBER(cost_clean)),
            net_sales_clean - cost_clean,
            ""
        ),
    VALUE(SUBSTITUTE(AA2,"$",""))
)</f>
        <v>16.332715986104802</v>
      </c>
      <c r="AC2">
        <v>8</v>
      </c>
      <c r="AD2">
        <f t="shared" ref="AD2:AD65" si="10">IF(LEN(TRIM(AC2&amp;""))=0, "", VALUE(AC2))</f>
        <v>8</v>
      </c>
      <c r="AE2">
        <v>3</v>
      </c>
      <c r="AF2">
        <f t="shared" ref="AF2:AF65" si="11">IF(LEN(TRIM(AE2&amp;""))=0, "", VALUE(AE2))</f>
        <v>3</v>
      </c>
      <c r="AG2">
        <v>0</v>
      </c>
      <c r="AH2">
        <f t="shared" ref="AH2:AH65" si="12">IF(
    OR(U2&lt;0, W2&lt;0, Y2&lt;0, AA2&lt;0),
        1,
        IF(LEN(TRIM(AG2&amp;""))=0, "", AG2)
)</f>
        <v>0</v>
      </c>
      <c r="AI2" t="str">
        <f t="shared" ref="AI2:AI65" si="13">IF(
    COUNT(Q2,V2,X2,Z2,AB2)=0,
        "Not Usable",
    IF(
        COUNT(Q2,V2,X2,Z2,AB2)&lt;5,
            "Incomplete",
            IF(
                MIN(Q2,V2,X2,Z2,AB2)=0,
                    "Incomplete",
                    "Complete"
            )
    )
)</f>
        <v>Complete</v>
      </c>
    </row>
    <row r="3" spans="1:35">
      <c r="A3">
        <v>37731</v>
      </c>
      <c r="B3" s="6">
        <v>46007.720393518517</v>
      </c>
      <c r="C3" s="3">
        <f t="shared" si="0"/>
        <v>46007</v>
      </c>
      <c r="D3" s="2">
        <f t="shared" si="1"/>
        <v>0.72039351851708489</v>
      </c>
      <c r="E3">
        <v>65</v>
      </c>
      <c r="F3" t="s">
        <v>15</v>
      </c>
      <c r="G3" t="str">
        <f t="shared" si="2"/>
        <v>West</v>
      </c>
      <c r="H3" t="s">
        <v>30</v>
      </c>
      <c r="I3" t="str">
        <f t="shared" si="3"/>
        <v>Mobile App</v>
      </c>
      <c r="J3">
        <v>28389</v>
      </c>
      <c r="K3" t="s">
        <v>14</v>
      </c>
      <c r="L3" t="str">
        <f t="shared" si="4"/>
        <v>Consumer</v>
      </c>
      <c r="M3" t="s">
        <v>9</v>
      </c>
      <c r="N3" t="str">
        <f t="shared" si="5"/>
        <v>Home</v>
      </c>
      <c r="O3" t="s">
        <v>37</v>
      </c>
      <c r="P3" t="str">
        <f>IF(LEN(TRIM(Table1[[#This Row],[subcategory]]&amp;""))=0,"Unknown", PROPER(TRIM(Table1[[#This Row],[subcategory]])))</f>
        <v>Kitchen</v>
      </c>
      <c r="Q3">
        <v>54.46</v>
      </c>
      <c r="R3" s="1">
        <f t="shared" si="6"/>
        <v>54.46</v>
      </c>
      <c r="S3">
        <v>2</v>
      </c>
      <c r="T3">
        <f t="shared" si="7"/>
        <v>2</v>
      </c>
      <c r="U3">
        <v>108.92</v>
      </c>
      <c r="V3" s="1">
        <f t="shared" si="8"/>
        <v>108.92</v>
      </c>
      <c r="W3" s="1">
        <v>93.562280000000001</v>
      </c>
      <c r="X3" s="1">
        <f t="shared" si="9"/>
        <v>93.562280000000001</v>
      </c>
      <c r="Z3" s="1" t="str" cm="1">
        <f t="array" ref="Z3">IF(
    LEN(TRIM(Y3&amp;""))=0,
        IF(AND(ISNUMBER(net_sales_clean), ISNUMBER(profit_clean)),
            net_sales_clean - profit_clean,
            ""
        ),
    VALUE(SUBSTITUTE(Y3,"$",""))
)</f>
        <v/>
      </c>
      <c r="AB3" s="1" t="str" cm="1">
        <f t="array" ref="AB3">IF(
    LEN(TRIM(AA3&amp;""))=0,
        IF(AND(ISNUMBER(net_sales_clean), ISNUMBER(cost_clean)),
            net_sales_clean - cost_clean,
            ""
        ),
    VALUE(SUBSTITUTE(AA3,"$",""))
)</f>
        <v/>
      </c>
      <c r="AC3">
        <v>7</v>
      </c>
      <c r="AD3">
        <f t="shared" si="10"/>
        <v>7</v>
      </c>
      <c r="AE3">
        <v>2</v>
      </c>
      <c r="AF3">
        <f t="shared" si="11"/>
        <v>2</v>
      </c>
      <c r="AG3">
        <v>0</v>
      </c>
      <c r="AH3">
        <f t="shared" si="12"/>
        <v>0</v>
      </c>
      <c r="AI3" t="str">
        <f t="shared" si="13"/>
        <v>Incomplete</v>
      </c>
    </row>
    <row r="4" spans="1:35">
      <c r="A4">
        <v>39992</v>
      </c>
      <c r="B4" s="6">
        <v>45409.545497685183</v>
      </c>
      <c r="C4" s="3">
        <f t="shared" si="0"/>
        <v>45409</v>
      </c>
      <c r="D4" s="2">
        <f t="shared" si="1"/>
        <v>0.5454976851833635</v>
      </c>
      <c r="E4">
        <v>51</v>
      </c>
      <c r="F4" t="s">
        <v>15</v>
      </c>
      <c r="G4" t="str">
        <f t="shared" si="2"/>
        <v>West</v>
      </c>
      <c r="H4" t="s">
        <v>3</v>
      </c>
      <c r="I4" t="str">
        <f t="shared" si="3"/>
        <v>Phone</v>
      </c>
      <c r="J4">
        <v>8878</v>
      </c>
      <c r="K4" t="s">
        <v>2</v>
      </c>
      <c r="L4" t="str">
        <f t="shared" si="4"/>
        <v>Home Office</v>
      </c>
      <c r="M4" t="s">
        <v>1</v>
      </c>
      <c r="N4" t="str">
        <f t="shared" si="5"/>
        <v>Beauty</v>
      </c>
      <c r="O4" t="s">
        <v>31</v>
      </c>
      <c r="P4" t="str">
        <f>IF(LEN(TRIM(Table1[[#This Row],[subcategory]]&amp;""))=0,"Unknown", PROPER(TRIM(Table1[[#This Row],[subcategory]])))</f>
        <v>Skincare</v>
      </c>
      <c r="Q4">
        <v>56.34</v>
      </c>
      <c r="R4" s="1">
        <f t="shared" si="6"/>
        <v>56.34</v>
      </c>
      <c r="S4">
        <v>1</v>
      </c>
      <c r="T4">
        <f t="shared" si="7"/>
        <v>1</v>
      </c>
      <c r="U4">
        <v>56.34</v>
      </c>
      <c r="V4" s="1">
        <f t="shared" si="8"/>
        <v>56.34</v>
      </c>
      <c r="W4" s="1">
        <v>54.649799999999999</v>
      </c>
      <c r="X4" s="1">
        <f t="shared" si="9"/>
        <v>54.649799999999999</v>
      </c>
      <c r="Y4" s="5" t="s">
        <v>200</v>
      </c>
      <c r="Z4" s="4" cm="1">
        <f t="array" ref="Z4">IF(
    LEN(TRIM(Y4&amp;""))=0,
        IF(AND(ISNUMBER(net_sales_clean), ISNUMBER(profit_clean)),
            net_sales_clean - profit_clean,
            ""
        ),
    VALUE(SUBSTITUTE(Y4,"$",""))
)</f>
        <v>30.544062175832799</v>
      </c>
      <c r="AA4" s="5" t="s">
        <v>199</v>
      </c>
      <c r="AB4" s="4" cm="1">
        <f t="array" ref="AB4">IF(
    LEN(TRIM(AA4&amp;""))=0,
        IF(AND(ISNUMBER(net_sales_clean), ISNUMBER(cost_clean)),
            net_sales_clean - cost_clean,
            ""
        ),
    VALUE(SUBSTITUTE(AA4,"$",""))
)</f>
        <v>24.1057378241671</v>
      </c>
      <c r="AC4">
        <v>9</v>
      </c>
      <c r="AD4">
        <f t="shared" si="10"/>
        <v>9</v>
      </c>
      <c r="AE4">
        <v>1</v>
      </c>
      <c r="AF4">
        <f t="shared" si="11"/>
        <v>1</v>
      </c>
      <c r="AG4">
        <v>0</v>
      </c>
      <c r="AH4">
        <f t="shared" si="12"/>
        <v>0</v>
      </c>
      <c r="AI4" t="str">
        <f t="shared" si="13"/>
        <v>Complete</v>
      </c>
    </row>
    <row r="5" spans="1:35">
      <c r="A5">
        <v>8526</v>
      </c>
      <c r="B5" s="6">
        <v>45467.810127314813</v>
      </c>
      <c r="C5" s="3">
        <f t="shared" si="0"/>
        <v>45467</v>
      </c>
      <c r="D5" s="2">
        <f t="shared" si="1"/>
        <v>0.81012731481314404</v>
      </c>
      <c r="E5">
        <v>3</v>
      </c>
      <c r="F5" t="s">
        <v>33</v>
      </c>
      <c r="G5" t="str">
        <f t="shared" si="2"/>
        <v>South</v>
      </c>
      <c r="H5" t="s">
        <v>27</v>
      </c>
      <c r="I5" t="str">
        <f t="shared" si="3"/>
        <v>In Store</v>
      </c>
      <c r="J5">
        <v>3169</v>
      </c>
      <c r="K5" t="s">
        <v>10</v>
      </c>
      <c r="L5" t="str">
        <f t="shared" si="4"/>
        <v>Consumer</v>
      </c>
      <c r="M5" t="s">
        <v>9</v>
      </c>
      <c r="N5" t="str">
        <f t="shared" si="5"/>
        <v>Home</v>
      </c>
      <c r="O5" t="s">
        <v>12</v>
      </c>
      <c r="P5" t="str">
        <f>IF(LEN(TRIM(Table1[[#This Row],[subcategory]]&amp;""))=0,"Unknown", PROPER(TRIM(Table1[[#This Row],[subcategory]])))</f>
        <v>Decor</v>
      </c>
      <c r="Q5">
        <v>52.94</v>
      </c>
      <c r="R5" s="1">
        <f t="shared" si="6"/>
        <v>52.94</v>
      </c>
      <c r="S5">
        <v>3</v>
      </c>
      <c r="T5">
        <f t="shared" si="7"/>
        <v>3</v>
      </c>
      <c r="U5">
        <v>158.82</v>
      </c>
      <c r="V5" s="1">
        <f t="shared" si="8"/>
        <v>158.82</v>
      </c>
      <c r="W5" s="1">
        <v>138.9675</v>
      </c>
      <c r="X5" s="1">
        <f t="shared" si="9"/>
        <v>138.9675</v>
      </c>
      <c r="Z5" s="1" t="str" cm="1">
        <f t="array" ref="Z5">IF(
    LEN(TRIM(Y5&amp;""))=0,
        IF(AND(ISNUMBER(net_sales_clean), ISNUMBER(profit_clean)),
            net_sales_clean - profit_clean,
            ""
        ),
    VALUE(SUBSTITUTE(Y5,"$",""))
)</f>
        <v/>
      </c>
      <c r="AB5" s="1" t="str" cm="1">
        <f t="array" ref="AB5">IF(
    LEN(TRIM(AA5&amp;""))=0,
        IF(AND(ISNUMBER(net_sales_clean), ISNUMBER(cost_clean)),
            net_sales_clean - cost_clean,
            ""
        ),
    VALUE(SUBSTITUTE(AA5,"$",""))
)</f>
        <v/>
      </c>
      <c r="AC5">
        <v>8</v>
      </c>
      <c r="AD5">
        <f t="shared" si="10"/>
        <v>8</v>
      </c>
      <c r="AE5">
        <v>5</v>
      </c>
      <c r="AF5">
        <f t="shared" si="11"/>
        <v>5</v>
      </c>
      <c r="AG5">
        <v>0</v>
      </c>
      <c r="AH5">
        <f t="shared" si="12"/>
        <v>0</v>
      </c>
      <c r="AI5" t="str">
        <f t="shared" si="13"/>
        <v>Incomplete</v>
      </c>
    </row>
    <row r="6" spans="1:35">
      <c r="A6">
        <v>8280</v>
      </c>
      <c r="B6" s="6">
        <v>45556.102349537039</v>
      </c>
      <c r="C6" s="3">
        <f t="shared" si="0"/>
        <v>45556</v>
      </c>
      <c r="D6" s="2">
        <f t="shared" si="1"/>
        <v>0.10234953703911742</v>
      </c>
      <c r="E6">
        <v>50</v>
      </c>
      <c r="F6" t="s">
        <v>8</v>
      </c>
      <c r="G6" t="str">
        <f t="shared" si="2"/>
        <v>West</v>
      </c>
      <c r="H6" t="s">
        <v>30</v>
      </c>
      <c r="I6" t="str">
        <f t="shared" si="3"/>
        <v>Mobile App</v>
      </c>
      <c r="J6">
        <v>27958</v>
      </c>
      <c r="K6" t="s">
        <v>14</v>
      </c>
      <c r="L6" t="str">
        <f t="shared" si="4"/>
        <v>Consumer</v>
      </c>
      <c r="M6" t="s">
        <v>16</v>
      </c>
      <c r="N6" t="str">
        <f t="shared" si="5"/>
        <v>Grocery</v>
      </c>
      <c r="O6" t="s">
        <v>28</v>
      </c>
      <c r="P6" t="str">
        <f>IF(LEN(TRIM(Table1[[#This Row],[subcategory]]&amp;""))=0,"Unknown", PROPER(TRIM(Table1[[#This Row],[subcategory]])))</f>
        <v>Pantry</v>
      </c>
      <c r="R6" s="1" t="str">
        <f t="shared" si="6"/>
        <v/>
      </c>
      <c r="S6">
        <v>6</v>
      </c>
      <c r="T6">
        <f t="shared" si="7"/>
        <v>6</v>
      </c>
      <c r="V6" s="1" t="str">
        <f t="shared" si="8"/>
        <v/>
      </c>
      <c r="X6" s="1" t="str">
        <f t="shared" si="9"/>
        <v/>
      </c>
      <c r="Z6" s="1" t="str" cm="1">
        <f t="array" ref="Z6">IF(
    LEN(TRIM(Y6&amp;""))=0,
        IF(AND(ISNUMBER(net_sales_clean), ISNUMBER(profit_clean)),
            net_sales_clean - profit_clean,
            ""
        ),
    VALUE(SUBSTITUTE(Y6,"$",""))
)</f>
        <v/>
      </c>
      <c r="AB6" s="1" t="str" cm="1">
        <f t="array" ref="AB6">IF(
    LEN(TRIM(AA6&amp;""))=0,
        IF(AND(ISNUMBER(net_sales_clean), ISNUMBER(cost_clean)),
            net_sales_clean - cost_clean,
            ""
        ),
    VALUE(SUBSTITUTE(AA6,"$",""))
)</f>
        <v/>
      </c>
      <c r="AC6">
        <v>3</v>
      </c>
      <c r="AD6">
        <f t="shared" si="10"/>
        <v>3</v>
      </c>
      <c r="AE6">
        <v>5</v>
      </c>
      <c r="AF6">
        <f t="shared" si="11"/>
        <v>5</v>
      </c>
      <c r="AH6" t="str">
        <f t="shared" si="12"/>
        <v/>
      </c>
      <c r="AI6" t="str">
        <f t="shared" si="13"/>
        <v>Not Usable</v>
      </c>
    </row>
    <row r="7" spans="1:35">
      <c r="A7">
        <v>51013</v>
      </c>
      <c r="B7" s="6">
        <v>45610.843159722222</v>
      </c>
      <c r="C7" s="3">
        <f t="shared" si="0"/>
        <v>45610</v>
      </c>
      <c r="D7" s="2">
        <f t="shared" si="1"/>
        <v>0.84315972222248092</v>
      </c>
      <c r="E7">
        <v>75</v>
      </c>
      <c r="F7" t="s">
        <v>4</v>
      </c>
      <c r="G7" t="str">
        <f t="shared" si="2"/>
        <v>South</v>
      </c>
      <c r="H7" t="s">
        <v>27</v>
      </c>
      <c r="I7" t="str">
        <f t="shared" si="3"/>
        <v>In Store</v>
      </c>
      <c r="J7">
        <v>5394</v>
      </c>
      <c r="K7" t="s">
        <v>10</v>
      </c>
      <c r="L7" t="str">
        <f t="shared" si="4"/>
        <v>Consumer</v>
      </c>
      <c r="M7" t="s">
        <v>23</v>
      </c>
      <c r="N7" t="str">
        <f t="shared" si="5"/>
        <v>Electronics</v>
      </c>
      <c r="O7" t="s">
        <v>25</v>
      </c>
      <c r="P7" t="str">
        <f>IF(LEN(TRIM(Table1[[#This Row],[subcategory]]&amp;""))=0,"Unknown", PROPER(TRIM(Table1[[#This Row],[subcategory]])))</f>
        <v>Laptops</v>
      </c>
      <c r="Q7">
        <v>128.71</v>
      </c>
      <c r="R7" s="1">
        <f t="shared" si="6"/>
        <v>128.71</v>
      </c>
      <c r="S7">
        <v>2</v>
      </c>
      <c r="T7">
        <f t="shared" si="7"/>
        <v>2</v>
      </c>
      <c r="U7">
        <v>257.42</v>
      </c>
      <c r="V7" s="1">
        <f t="shared" si="8"/>
        <v>257.42</v>
      </c>
      <c r="W7" s="5">
        <v>236.05413999999999</v>
      </c>
      <c r="X7" s="4">
        <f t="shared" si="9"/>
        <v>236.05413999999999</v>
      </c>
      <c r="Y7" s="5" t="s">
        <v>198</v>
      </c>
      <c r="Z7" s="4" cm="1">
        <f t="array" ref="Z7">IF(
    LEN(TRIM(Y7&amp;""))=0,
        IF(AND(ISNUMBER(net_sales_clean), ISNUMBER(profit_clean)),
            net_sales_clean - profit_clean,
            ""
        ),
    VALUE(SUBSTITUTE(Y7,"$",""))
)</f>
        <v>196.85131485753101</v>
      </c>
      <c r="AA7" s="5" t="s">
        <v>197</v>
      </c>
      <c r="AB7" s="4" cm="1">
        <f t="array" ref="AB7">IF(
    LEN(TRIM(AA7&amp;""))=0,
        IF(AND(ISNUMBER(net_sales_clean), ISNUMBER(cost_clean)),
            net_sales_clean - cost_clean,
            ""
        ),
    VALUE(SUBSTITUTE(AA7,"$",""))
)</f>
        <v>39.202825142468903</v>
      </c>
      <c r="AC7">
        <v>6</v>
      </c>
      <c r="AD7">
        <f t="shared" si="10"/>
        <v>6</v>
      </c>
      <c r="AE7">
        <v>5</v>
      </c>
      <c r="AF7">
        <f t="shared" si="11"/>
        <v>5</v>
      </c>
      <c r="AG7">
        <v>0</v>
      </c>
      <c r="AH7">
        <f t="shared" si="12"/>
        <v>0</v>
      </c>
      <c r="AI7" t="str">
        <f t="shared" si="13"/>
        <v>Complete</v>
      </c>
    </row>
    <row r="8" spans="1:35">
      <c r="A8">
        <v>14872</v>
      </c>
      <c r="B8" s="6">
        <v>45408.029236111113</v>
      </c>
      <c r="C8" s="3">
        <f t="shared" si="0"/>
        <v>45408</v>
      </c>
      <c r="D8" s="2">
        <f t="shared" si="1"/>
        <v>2.923611111327773E-2</v>
      </c>
      <c r="E8">
        <v>4</v>
      </c>
      <c r="F8" t="s">
        <v>21</v>
      </c>
      <c r="G8" t="str">
        <f t="shared" si="2"/>
        <v>Midwest</v>
      </c>
      <c r="H8" t="s">
        <v>17</v>
      </c>
      <c r="I8" t="str">
        <f t="shared" si="3"/>
        <v>Online</v>
      </c>
      <c r="J8">
        <v>24736</v>
      </c>
      <c r="K8" t="s">
        <v>6</v>
      </c>
      <c r="L8" t="str">
        <f t="shared" si="4"/>
        <v>Corporate</v>
      </c>
      <c r="M8" t="s">
        <v>23</v>
      </c>
      <c r="N8" t="str">
        <f t="shared" si="5"/>
        <v>Electronics</v>
      </c>
      <c r="O8" t="s">
        <v>34</v>
      </c>
      <c r="P8" t="str">
        <f>IF(LEN(TRIM(Table1[[#This Row],[subcategory]]&amp;""))=0,"Unknown", PROPER(TRIM(Table1[[#This Row],[subcategory]])))</f>
        <v>Phones</v>
      </c>
      <c r="Q8">
        <v>349.2</v>
      </c>
      <c r="R8" s="1">
        <f t="shared" si="6"/>
        <v>349.2</v>
      </c>
      <c r="S8">
        <v>3</v>
      </c>
      <c r="T8">
        <f t="shared" si="7"/>
        <v>3</v>
      </c>
      <c r="U8">
        <v>1047.5999999999999</v>
      </c>
      <c r="V8" s="1">
        <f t="shared" si="8"/>
        <v>1047.5999999999999</v>
      </c>
      <c r="W8" s="5">
        <v>797.22359999999901</v>
      </c>
      <c r="X8" s="4">
        <f t="shared" si="9"/>
        <v>797.22359999999901</v>
      </c>
      <c r="Y8" s="5" t="s">
        <v>196</v>
      </c>
      <c r="Z8" s="4" cm="1">
        <f t="array" ref="Z8">IF(
    LEN(TRIM(Y8&amp;""))=0,
        IF(AND(ISNUMBER(net_sales_clean), ISNUMBER(profit_clean)),
            net_sales_clean - profit_clean,
            ""
        ),
    VALUE(SUBSTITUTE(Y8,"$",""))
)</f>
        <v>617.00900423918097</v>
      </c>
      <c r="AA8" s="5" t="s">
        <v>195</v>
      </c>
      <c r="AB8" s="4" cm="1">
        <f t="array" ref="AB8">IF(
    LEN(TRIM(AA8&amp;""))=0,
        IF(AND(ISNUMBER(net_sales_clean), ISNUMBER(cost_clean)),
            net_sales_clean - cost_clean,
            ""
        ),
    VALUE(SUBSTITUTE(AA8,"$",""))
)</f>
        <v>180.21459576081801</v>
      </c>
      <c r="AC8">
        <v>8</v>
      </c>
      <c r="AD8">
        <f t="shared" si="10"/>
        <v>8</v>
      </c>
      <c r="AE8">
        <v>3</v>
      </c>
      <c r="AF8">
        <f t="shared" si="11"/>
        <v>3</v>
      </c>
      <c r="AG8">
        <v>0</v>
      </c>
      <c r="AH8">
        <f t="shared" si="12"/>
        <v>0</v>
      </c>
      <c r="AI8" t="str">
        <f t="shared" si="13"/>
        <v>Complete</v>
      </c>
    </row>
    <row r="9" spans="1:35">
      <c r="A9">
        <v>15128</v>
      </c>
      <c r="B9" s="6">
        <v>45797.661400462966</v>
      </c>
      <c r="C9" s="3">
        <f t="shared" si="0"/>
        <v>45797</v>
      </c>
      <c r="D9" s="2">
        <f t="shared" si="1"/>
        <v>0.66140046296641231</v>
      </c>
      <c r="E9">
        <v>18</v>
      </c>
      <c r="F9" t="s">
        <v>33</v>
      </c>
      <c r="G9" t="str">
        <f t="shared" si="2"/>
        <v>South</v>
      </c>
      <c r="H9" t="s">
        <v>7</v>
      </c>
      <c r="I9" t="str">
        <f t="shared" si="3"/>
        <v>In Store</v>
      </c>
      <c r="J9">
        <v>4117</v>
      </c>
      <c r="K9" t="s">
        <v>6</v>
      </c>
      <c r="L9" t="str">
        <f t="shared" si="4"/>
        <v>Corporate</v>
      </c>
      <c r="M9" t="s">
        <v>1</v>
      </c>
      <c r="N9" t="str">
        <f t="shared" si="5"/>
        <v>Beauty</v>
      </c>
      <c r="O9" t="s">
        <v>38</v>
      </c>
      <c r="P9" t="str">
        <f>IF(LEN(TRIM(Table1[[#This Row],[subcategory]]&amp;""))=0,"Unknown", PROPER(TRIM(Table1[[#This Row],[subcategory]])))</f>
        <v>Fragrance</v>
      </c>
      <c r="Q9">
        <v>39.33</v>
      </c>
      <c r="R9" s="1">
        <f t="shared" si="6"/>
        <v>39.33</v>
      </c>
      <c r="S9">
        <v>3</v>
      </c>
      <c r="T9">
        <f t="shared" si="7"/>
        <v>3</v>
      </c>
      <c r="U9">
        <v>117.99</v>
      </c>
      <c r="V9" s="1">
        <f t="shared" si="8"/>
        <v>117.99</v>
      </c>
      <c r="W9" s="4" t="s">
        <v>194</v>
      </c>
      <c r="X9" s="4">
        <f t="shared" si="9"/>
        <v>88.728479999999905</v>
      </c>
      <c r="Y9" s="5" t="s">
        <v>193</v>
      </c>
      <c r="Z9" s="4" cm="1">
        <f t="array" ref="Z9">IF(
    LEN(TRIM(Y9&amp;""))=0,
        IF(AND(ISNUMBER(net_sales_clean), ISNUMBER(profit_clean)),
            net_sales_clean - profit_clean,
            ""
        ),
    VALUE(SUBSTITUTE(Y9,"$",""))
)</f>
        <v>71.008408594918507</v>
      </c>
      <c r="AA9">
        <v>17.720071405081399</v>
      </c>
      <c r="AB9" s="1" cm="1">
        <f t="array" ref="AB9">IF(
    LEN(TRIM(AA9&amp;""))=0,
        IF(AND(ISNUMBER(net_sales_clean), ISNUMBER(cost_clean)),
            net_sales_clean - cost_clean,
            ""
        ),
    VALUE(SUBSTITUTE(AA9,"$",""))
)</f>
        <v>17.720071405081399</v>
      </c>
      <c r="AC9">
        <v>0</v>
      </c>
      <c r="AD9">
        <f t="shared" si="10"/>
        <v>0</v>
      </c>
      <c r="AE9">
        <v>4</v>
      </c>
      <c r="AF9">
        <f t="shared" si="11"/>
        <v>4</v>
      </c>
      <c r="AG9">
        <v>0</v>
      </c>
      <c r="AH9">
        <f t="shared" si="12"/>
        <v>0</v>
      </c>
      <c r="AI9" t="str">
        <f t="shared" si="13"/>
        <v>Complete</v>
      </c>
    </row>
    <row r="10" spans="1:35">
      <c r="A10">
        <v>9367</v>
      </c>
      <c r="B10" s="6">
        <v>45515.423483796294</v>
      </c>
      <c r="C10" s="3">
        <f t="shared" si="0"/>
        <v>45515</v>
      </c>
      <c r="D10" s="2">
        <f t="shared" si="1"/>
        <v>0.42348379629402189</v>
      </c>
      <c r="E10">
        <v>51</v>
      </c>
      <c r="F10" t="s">
        <v>8</v>
      </c>
      <c r="G10" t="str">
        <f t="shared" si="2"/>
        <v>West</v>
      </c>
      <c r="H10" t="s">
        <v>7</v>
      </c>
      <c r="I10" t="str">
        <f t="shared" si="3"/>
        <v>In Store</v>
      </c>
      <c r="J10">
        <v>16053</v>
      </c>
      <c r="K10" t="s">
        <v>10</v>
      </c>
      <c r="L10" t="str">
        <f t="shared" si="4"/>
        <v>Consumer</v>
      </c>
      <c r="M10" t="s">
        <v>1</v>
      </c>
      <c r="N10" t="str">
        <f t="shared" si="5"/>
        <v>Beauty</v>
      </c>
      <c r="O10" t="s">
        <v>0</v>
      </c>
      <c r="P10" t="str">
        <f>IF(LEN(TRIM(Table1[[#This Row],[subcategory]]&amp;""))=0,"Unknown", PROPER(TRIM(Table1[[#This Row],[subcategory]])))</f>
        <v>Makeup</v>
      </c>
      <c r="Q10">
        <v>42.39</v>
      </c>
      <c r="R10" s="1">
        <f t="shared" si="6"/>
        <v>42.39</v>
      </c>
      <c r="S10">
        <v>4</v>
      </c>
      <c r="T10">
        <f t="shared" si="7"/>
        <v>4</v>
      </c>
      <c r="U10">
        <v>169.56</v>
      </c>
      <c r="V10" s="1">
        <f t="shared" si="8"/>
        <v>169.56</v>
      </c>
      <c r="W10" s="1">
        <v>130.56120000000001</v>
      </c>
      <c r="X10" s="1">
        <f t="shared" si="9"/>
        <v>130.56120000000001</v>
      </c>
      <c r="Z10" s="1" t="str" cm="1">
        <f t="array" ref="Z10">IF(
    LEN(TRIM(Y10&amp;""))=0,
        IF(AND(ISNUMBER(net_sales_clean), ISNUMBER(profit_clean)),
            net_sales_clean - profit_clean,
            ""
        ),
    VALUE(SUBSTITUTE(Y10,"$",""))
)</f>
        <v/>
      </c>
      <c r="AB10" s="1" t="str" cm="1">
        <f t="array" ref="AB10">IF(
    LEN(TRIM(AA10&amp;""))=0,
        IF(AND(ISNUMBER(net_sales_clean), ISNUMBER(cost_clean)),
            net_sales_clean - cost_clean,
            ""
        ),
    VALUE(SUBSTITUTE(AA10,"$",""))
)</f>
        <v/>
      </c>
      <c r="AC10">
        <v>2</v>
      </c>
      <c r="AD10">
        <f t="shared" si="10"/>
        <v>2</v>
      </c>
      <c r="AE10">
        <v>4</v>
      </c>
      <c r="AF10">
        <f t="shared" si="11"/>
        <v>4</v>
      </c>
      <c r="AG10">
        <v>0</v>
      </c>
      <c r="AH10">
        <f t="shared" si="12"/>
        <v>0</v>
      </c>
      <c r="AI10" t="str">
        <f t="shared" si="13"/>
        <v>Incomplete</v>
      </c>
    </row>
    <row r="11" spans="1:35">
      <c r="A11">
        <v>33323</v>
      </c>
      <c r="B11" s="6">
        <v>45915.050532407404</v>
      </c>
      <c r="C11" s="3">
        <f t="shared" si="0"/>
        <v>45915</v>
      </c>
      <c r="D11" s="2">
        <f t="shared" si="1"/>
        <v>5.0532407403807156E-2</v>
      </c>
      <c r="E11">
        <v>27</v>
      </c>
      <c r="F11" t="s">
        <v>15</v>
      </c>
      <c r="G11" t="str">
        <f t="shared" si="2"/>
        <v>West</v>
      </c>
      <c r="H11" t="s">
        <v>11</v>
      </c>
      <c r="I11" t="str">
        <f t="shared" si="3"/>
        <v>Online</v>
      </c>
      <c r="J11">
        <v>16076</v>
      </c>
      <c r="K11" t="s">
        <v>14</v>
      </c>
      <c r="L11" t="str">
        <f t="shared" si="4"/>
        <v>Consumer</v>
      </c>
      <c r="M11" t="s">
        <v>23</v>
      </c>
      <c r="N11" t="str">
        <f t="shared" si="5"/>
        <v>Electronics</v>
      </c>
      <c r="O11" t="s">
        <v>34</v>
      </c>
      <c r="P11" t="str">
        <f>IF(LEN(TRIM(Table1[[#This Row],[subcategory]]&amp;""))=0,"Unknown", PROPER(TRIM(Table1[[#This Row],[subcategory]])))</f>
        <v>Phones</v>
      </c>
      <c r="Q11">
        <v>65.88</v>
      </c>
      <c r="R11" s="1">
        <f t="shared" si="6"/>
        <v>65.88</v>
      </c>
      <c r="S11">
        <v>4</v>
      </c>
      <c r="T11">
        <f t="shared" si="7"/>
        <v>4</v>
      </c>
      <c r="U11">
        <v>263.52</v>
      </c>
      <c r="V11" s="1">
        <f t="shared" si="8"/>
        <v>263.52</v>
      </c>
      <c r="W11" s="1">
        <v>206.86320000000001</v>
      </c>
      <c r="X11" s="1">
        <f t="shared" si="9"/>
        <v>206.86320000000001</v>
      </c>
      <c r="Y11" s="5" t="s">
        <v>192</v>
      </c>
      <c r="Z11" s="4" cm="1">
        <f t="array" ref="Z11">IF(
    LEN(TRIM(Y11&amp;""))=0,
        IF(AND(ISNUMBER(net_sales_clean), ISNUMBER(profit_clean)),
            net_sales_clean - profit_clean,
            ""
        ),
    VALUE(SUBSTITUTE(Y11,"$",""))
)</f>
        <v>143.369384778979</v>
      </c>
      <c r="AA11" s="5" t="s">
        <v>191</v>
      </c>
      <c r="AB11" s="4" cm="1">
        <f t="array" ref="AB11">IF(
    LEN(TRIM(AA11&amp;""))=0,
        IF(AND(ISNUMBER(net_sales_clean), ISNUMBER(cost_clean)),
            net_sales_clean - cost_clean,
            ""
        ),
    VALUE(SUBSTITUTE(AA11,"$",""))
)</f>
        <v>63.493815221020903</v>
      </c>
      <c r="AC11">
        <v>7</v>
      </c>
      <c r="AD11">
        <f t="shared" si="10"/>
        <v>7</v>
      </c>
      <c r="AE11">
        <v>1</v>
      </c>
      <c r="AF11">
        <f t="shared" si="11"/>
        <v>1</v>
      </c>
      <c r="AG11">
        <v>0</v>
      </c>
      <c r="AH11">
        <f t="shared" si="12"/>
        <v>0</v>
      </c>
      <c r="AI11" t="str">
        <f t="shared" si="13"/>
        <v>Complete</v>
      </c>
    </row>
    <row r="12" spans="1:35">
      <c r="A12">
        <v>53391</v>
      </c>
      <c r="B12" s="6">
        <v>45138.763298611113</v>
      </c>
      <c r="C12" s="3">
        <f t="shared" si="0"/>
        <v>45138</v>
      </c>
      <c r="D12" s="2">
        <f t="shared" si="1"/>
        <v>0.76329861111298669</v>
      </c>
      <c r="E12">
        <v>68</v>
      </c>
      <c r="F12" t="s">
        <v>21</v>
      </c>
      <c r="G12" t="str">
        <f t="shared" si="2"/>
        <v>Midwest</v>
      </c>
      <c r="H12" t="s">
        <v>30</v>
      </c>
      <c r="I12" t="str">
        <f t="shared" si="3"/>
        <v>Mobile App</v>
      </c>
      <c r="J12">
        <v>10593</v>
      </c>
      <c r="K12" t="s">
        <v>6</v>
      </c>
      <c r="L12" t="str">
        <f t="shared" si="4"/>
        <v>Corporate</v>
      </c>
      <c r="M12" t="s">
        <v>23</v>
      </c>
      <c r="N12" t="str">
        <f t="shared" si="5"/>
        <v>Electronics</v>
      </c>
      <c r="O12" t="s">
        <v>25</v>
      </c>
      <c r="P12" t="str">
        <f>IF(LEN(TRIM(Table1[[#This Row],[subcategory]]&amp;""))=0,"Unknown", PROPER(TRIM(Table1[[#This Row],[subcategory]])))</f>
        <v>Laptops</v>
      </c>
      <c r="Q12">
        <v>38.909999999999997</v>
      </c>
      <c r="R12" s="1">
        <f t="shared" si="6"/>
        <v>38.909999999999997</v>
      </c>
      <c r="S12">
        <v>2</v>
      </c>
      <c r="T12">
        <f t="shared" si="7"/>
        <v>2</v>
      </c>
      <c r="U12">
        <v>77.819999999999993</v>
      </c>
      <c r="V12" s="1">
        <f t="shared" si="8"/>
        <v>77.819999999999993</v>
      </c>
      <c r="W12" s="4" t="s">
        <v>190</v>
      </c>
      <c r="X12" s="4">
        <f t="shared" si="9"/>
        <v>51.750299999999903</v>
      </c>
      <c r="Y12" s="5" t="s">
        <v>189</v>
      </c>
      <c r="Z12" s="4" cm="1">
        <f t="array" ref="Z12">IF(
    LEN(TRIM(Y12&amp;""))=0,
        IF(AND(ISNUMBER(net_sales_clean), ISNUMBER(profit_clean)),
            net_sales_clean - profit_clean,
            ""
        ),
    VALUE(SUBSTITUTE(Y12,"$",""))
)</f>
        <v>30.691513588590102</v>
      </c>
      <c r="AA12" s="5" t="s">
        <v>188</v>
      </c>
      <c r="AB12" s="4" cm="1">
        <f t="array" ref="AB12">IF(
    LEN(TRIM(AA12&amp;""))=0,
        IF(AND(ISNUMBER(net_sales_clean), ISNUMBER(cost_clean)),
            net_sales_clean - cost_clean,
            ""
        ),
    VALUE(SUBSTITUTE(AA12,"$",""))
)</f>
        <v>21.058786411409798</v>
      </c>
      <c r="AC12">
        <v>5</v>
      </c>
      <c r="AD12">
        <f t="shared" si="10"/>
        <v>5</v>
      </c>
      <c r="AE12">
        <v>3</v>
      </c>
      <c r="AF12">
        <f t="shared" si="11"/>
        <v>3</v>
      </c>
      <c r="AH12" t="str">
        <f t="shared" si="12"/>
        <v/>
      </c>
      <c r="AI12" t="str">
        <f t="shared" si="13"/>
        <v>Complete</v>
      </c>
    </row>
    <row r="13" spans="1:35">
      <c r="A13">
        <v>21820</v>
      </c>
      <c r="B13" s="6">
        <v>45435.569374999999</v>
      </c>
      <c r="C13" s="3">
        <f t="shared" si="0"/>
        <v>45435</v>
      </c>
      <c r="D13" s="2">
        <f t="shared" si="1"/>
        <v>0.56937499999912689</v>
      </c>
      <c r="E13">
        <v>24</v>
      </c>
      <c r="F13" t="s">
        <v>15</v>
      </c>
      <c r="G13" t="str">
        <f t="shared" si="2"/>
        <v>West</v>
      </c>
      <c r="H13" t="s">
        <v>27</v>
      </c>
      <c r="I13" t="str">
        <f t="shared" si="3"/>
        <v>In Store</v>
      </c>
      <c r="J13">
        <v>24446</v>
      </c>
      <c r="K13" t="s">
        <v>14</v>
      </c>
      <c r="L13" t="str">
        <f t="shared" si="4"/>
        <v>Consumer</v>
      </c>
      <c r="M13" t="s">
        <v>9</v>
      </c>
      <c r="N13" t="str">
        <f t="shared" si="5"/>
        <v>Home</v>
      </c>
      <c r="O13" t="s">
        <v>35</v>
      </c>
      <c r="P13" t="str">
        <f>IF(LEN(TRIM(Table1[[#This Row],[subcategory]]&amp;""))=0,"Unknown", PROPER(TRIM(Table1[[#This Row],[subcategory]])))</f>
        <v>Bedding</v>
      </c>
      <c r="Q13">
        <v>32.71</v>
      </c>
      <c r="R13" s="1">
        <f t="shared" si="6"/>
        <v>32.71</v>
      </c>
      <c r="S13">
        <v>1</v>
      </c>
      <c r="T13">
        <f t="shared" si="7"/>
        <v>1</v>
      </c>
      <c r="U13">
        <v>32.71</v>
      </c>
      <c r="V13" s="1">
        <f t="shared" si="8"/>
        <v>32.71</v>
      </c>
      <c r="W13" s="4" t="s">
        <v>187</v>
      </c>
      <c r="X13" s="4">
        <f t="shared" si="9"/>
        <v>26.004449999999999</v>
      </c>
      <c r="Y13">
        <v>15.5101019219055</v>
      </c>
      <c r="Z13" s="1" cm="1">
        <f t="array" ref="Z13">IF(
    LEN(TRIM(Y13&amp;""))=0,
        IF(AND(ISNUMBER(net_sales_clean), ISNUMBER(profit_clean)),
            net_sales_clean - profit_clean,
            ""
        ),
    VALUE(SUBSTITUTE(Y13,"$",""))
)</f>
        <v>15.5101019219055</v>
      </c>
      <c r="AA13" s="5" t="s">
        <v>186</v>
      </c>
      <c r="AB13" s="4" cm="1">
        <f t="array" ref="AB13">IF(
    LEN(TRIM(AA13&amp;""))=0,
        IF(AND(ISNUMBER(net_sales_clean), ISNUMBER(cost_clean)),
            net_sales_clean - cost_clean,
            ""
        ),
    VALUE(SUBSTITUTE(AA13,"$",""))
)</f>
        <v>10.4943480780945</v>
      </c>
      <c r="AC13">
        <v>5</v>
      </c>
      <c r="AD13">
        <f t="shared" si="10"/>
        <v>5</v>
      </c>
      <c r="AE13">
        <v>2</v>
      </c>
      <c r="AF13">
        <f t="shared" si="11"/>
        <v>2</v>
      </c>
      <c r="AG13">
        <v>0</v>
      </c>
      <c r="AH13">
        <f t="shared" si="12"/>
        <v>0</v>
      </c>
      <c r="AI13" t="str">
        <f t="shared" si="13"/>
        <v>Complete</v>
      </c>
    </row>
    <row r="14" spans="1:35">
      <c r="A14">
        <v>5027</v>
      </c>
      <c r="B14" s="6">
        <v>45996.83871527778</v>
      </c>
      <c r="C14" s="3">
        <f t="shared" si="0"/>
        <v>45996</v>
      </c>
      <c r="D14" s="2">
        <f t="shared" si="1"/>
        <v>0.83871527777955635</v>
      </c>
      <c r="E14">
        <v>59</v>
      </c>
      <c r="F14" t="s">
        <v>13</v>
      </c>
      <c r="G14" t="str">
        <f t="shared" si="2"/>
        <v>Northeast</v>
      </c>
      <c r="H14" t="s">
        <v>17</v>
      </c>
      <c r="I14" t="str">
        <f t="shared" si="3"/>
        <v>Online</v>
      </c>
      <c r="J14">
        <v>24829</v>
      </c>
      <c r="K14" t="s">
        <v>6</v>
      </c>
      <c r="L14" t="str">
        <f t="shared" si="4"/>
        <v>Corporate</v>
      </c>
      <c r="M14" t="s">
        <v>1</v>
      </c>
      <c r="N14" t="str">
        <f t="shared" si="5"/>
        <v>Beauty</v>
      </c>
      <c r="O14" t="s">
        <v>38</v>
      </c>
      <c r="P14" t="str">
        <f>IF(LEN(TRIM(Table1[[#This Row],[subcategory]]&amp;""))=0,"Unknown", PROPER(TRIM(Table1[[#This Row],[subcategory]])))</f>
        <v>Fragrance</v>
      </c>
      <c r="Q14">
        <v>54.23</v>
      </c>
      <c r="R14" s="1">
        <f t="shared" si="6"/>
        <v>54.23</v>
      </c>
      <c r="S14">
        <v>6</v>
      </c>
      <c r="T14">
        <f t="shared" si="7"/>
        <v>6</v>
      </c>
      <c r="U14">
        <v>325.38</v>
      </c>
      <c r="V14" s="1">
        <f t="shared" si="8"/>
        <v>325.38</v>
      </c>
      <c r="W14" s="1">
        <v>193.6011</v>
      </c>
      <c r="X14" s="1">
        <f t="shared" si="9"/>
        <v>193.6011</v>
      </c>
      <c r="Y14" s="5" t="s">
        <v>185</v>
      </c>
      <c r="Z14" s="4" cm="1">
        <f t="array" ref="Z14">IF(
    LEN(TRIM(Y14&amp;""))=0,
        IF(AND(ISNUMBER(net_sales_clean), ISNUMBER(profit_clean)),
            net_sales_clean - profit_clean,
            ""
        ),
    VALUE(SUBSTITUTE(Y14,"$",""))
)</f>
        <v>144.78485072488499</v>
      </c>
      <c r="AA14" s="5" t="s">
        <v>184</v>
      </c>
      <c r="AB14" s="4" cm="1">
        <f t="array" ref="AB14">IF(
    LEN(TRIM(AA14&amp;""))=0,
        IF(AND(ISNUMBER(net_sales_clean), ISNUMBER(cost_clean)),
            net_sales_clean - cost_clean,
            ""
        ),
    VALUE(SUBSTITUTE(AA14,"$",""))
)</f>
        <v>48.816249275113996</v>
      </c>
      <c r="AC14">
        <v>0</v>
      </c>
      <c r="AD14">
        <f t="shared" si="10"/>
        <v>0</v>
      </c>
      <c r="AE14">
        <v>2</v>
      </c>
      <c r="AF14">
        <f t="shared" si="11"/>
        <v>2</v>
      </c>
      <c r="AG14">
        <v>0</v>
      </c>
      <c r="AH14">
        <f t="shared" si="12"/>
        <v>0</v>
      </c>
      <c r="AI14" t="str">
        <f t="shared" si="13"/>
        <v>Complete</v>
      </c>
    </row>
    <row r="15" spans="1:35">
      <c r="A15">
        <v>23429</v>
      </c>
      <c r="B15" s="6">
        <v>45999.067812499998</v>
      </c>
      <c r="C15" s="3">
        <f t="shared" si="0"/>
        <v>45999</v>
      </c>
      <c r="D15" s="2">
        <f t="shared" si="1"/>
        <v>6.7812499997671694E-2</v>
      </c>
      <c r="E15">
        <v>60</v>
      </c>
      <c r="F15" t="s">
        <v>33</v>
      </c>
      <c r="G15" t="str">
        <f t="shared" si="2"/>
        <v>South</v>
      </c>
      <c r="H15" t="s">
        <v>7</v>
      </c>
      <c r="I15" t="str">
        <f t="shared" si="3"/>
        <v>In Store</v>
      </c>
      <c r="J15">
        <v>15773</v>
      </c>
      <c r="K15" t="s">
        <v>10</v>
      </c>
      <c r="L15" t="str">
        <f t="shared" si="4"/>
        <v>Consumer</v>
      </c>
      <c r="M15" t="s">
        <v>9</v>
      </c>
      <c r="N15" t="str">
        <f t="shared" si="5"/>
        <v>Home</v>
      </c>
      <c r="P15" t="str">
        <f>IF(LEN(TRIM(Table1[[#This Row],[subcategory]]&amp;""))=0,"Unknown", PROPER(TRIM(Table1[[#This Row],[subcategory]])))</f>
        <v>Unknown</v>
      </c>
      <c r="Q15">
        <v>100.52</v>
      </c>
      <c r="R15" s="1">
        <f t="shared" si="6"/>
        <v>100.52</v>
      </c>
      <c r="S15">
        <v>0</v>
      </c>
      <c r="T15">
        <f t="shared" si="7"/>
        <v>0</v>
      </c>
      <c r="U15">
        <v>0</v>
      </c>
      <c r="V15" s="1">
        <f t="shared" si="8"/>
        <v>0</v>
      </c>
      <c r="W15" s="1">
        <v>0</v>
      </c>
      <c r="X15" s="1">
        <f t="shared" si="9"/>
        <v>0</v>
      </c>
      <c r="Y15">
        <v>0</v>
      </c>
      <c r="Z15" s="1" cm="1">
        <f t="array" ref="Z15">IF(
    LEN(TRIM(Y15&amp;""))=0,
        IF(AND(ISNUMBER(net_sales_clean), ISNUMBER(profit_clean)),
            net_sales_clean - profit_clean,
            ""
        ),
    VALUE(SUBSTITUTE(Y15,"$",""))
)</f>
        <v>0</v>
      </c>
      <c r="AA15">
        <v>0</v>
      </c>
      <c r="AB15" s="1" cm="1">
        <f t="array" ref="AB15">IF(
    LEN(TRIM(AA15&amp;""))=0,
        IF(AND(ISNUMBER(net_sales_clean), ISNUMBER(cost_clean)),
            net_sales_clean - cost_clean,
            ""
        ),
    VALUE(SUBSTITUTE(AA15,"$",""))
)</f>
        <v>0</v>
      </c>
      <c r="AC15">
        <v>8</v>
      </c>
      <c r="AD15">
        <f t="shared" si="10"/>
        <v>8</v>
      </c>
      <c r="AE15">
        <v>1</v>
      </c>
      <c r="AF15">
        <f t="shared" si="11"/>
        <v>1</v>
      </c>
      <c r="AG15">
        <v>0</v>
      </c>
      <c r="AH15">
        <f t="shared" si="12"/>
        <v>0</v>
      </c>
      <c r="AI15" t="str">
        <f t="shared" si="13"/>
        <v>Incomplete</v>
      </c>
    </row>
    <row r="16" spans="1:35">
      <c r="A16">
        <v>45298</v>
      </c>
      <c r="B16" s="6">
        <v>45095.218668981484</v>
      </c>
      <c r="C16" s="3">
        <f t="shared" si="0"/>
        <v>45095</v>
      </c>
      <c r="D16" s="2">
        <f t="shared" si="1"/>
        <v>0.21866898148437031</v>
      </c>
      <c r="E16">
        <v>2</v>
      </c>
      <c r="F16" t="s">
        <v>33</v>
      </c>
      <c r="G16" t="str">
        <f t="shared" si="2"/>
        <v>South</v>
      </c>
      <c r="H16" t="s">
        <v>3</v>
      </c>
      <c r="I16" t="str">
        <f t="shared" si="3"/>
        <v>Phone</v>
      </c>
      <c r="J16">
        <v>25279</v>
      </c>
      <c r="K16" t="s">
        <v>10</v>
      </c>
      <c r="L16" t="str">
        <f t="shared" si="4"/>
        <v>Consumer</v>
      </c>
      <c r="M16" t="s">
        <v>16</v>
      </c>
      <c r="N16" t="str">
        <f t="shared" si="5"/>
        <v>Grocery</v>
      </c>
      <c r="O16" t="s">
        <v>28</v>
      </c>
      <c r="P16" t="str">
        <f>IF(LEN(TRIM(Table1[[#This Row],[subcategory]]&amp;""))=0,"Unknown", PROPER(TRIM(Table1[[#This Row],[subcategory]])))</f>
        <v>Pantry</v>
      </c>
      <c r="Q16">
        <v>54.22</v>
      </c>
      <c r="R16" s="1">
        <f t="shared" si="6"/>
        <v>54.22</v>
      </c>
      <c r="S16">
        <v>5</v>
      </c>
      <c r="T16">
        <f t="shared" si="7"/>
        <v>5</v>
      </c>
      <c r="U16">
        <v>271.10000000000002</v>
      </c>
      <c r="V16" s="1">
        <f t="shared" si="8"/>
        <v>271.10000000000002</v>
      </c>
      <c r="W16" s="4" t="s">
        <v>183</v>
      </c>
      <c r="X16" s="4">
        <f t="shared" si="9"/>
        <v>235.31479999999999</v>
      </c>
      <c r="Y16" s="5" t="s">
        <v>182</v>
      </c>
      <c r="Z16" s="4" cm="1">
        <f t="array" ref="Z16">IF(
    LEN(TRIM(Y16&amp;""))=0,
        IF(AND(ISNUMBER(net_sales_clean), ISNUMBER(profit_clean)),
            net_sales_clean - profit_clean,
            ""
        ),
    VALUE(SUBSTITUTE(Y16,"$",""))
)</f>
        <v>177.48664754904701</v>
      </c>
      <c r="AA16" s="5" t="s">
        <v>181</v>
      </c>
      <c r="AB16" s="4" cm="1">
        <f t="array" ref="AB16">IF(
    LEN(TRIM(AA16&amp;""))=0,
        IF(AND(ISNUMBER(net_sales_clean), ISNUMBER(cost_clean)),
            net_sales_clean - cost_clean,
            ""
        ),
    VALUE(SUBSTITUTE(AA16,"$",""))
)</f>
        <v>57.828152450952203</v>
      </c>
      <c r="AC16">
        <v>1</v>
      </c>
      <c r="AD16">
        <f t="shared" si="10"/>
        <v>1</v>
      </c>
      <c r="AE16">
        <v>1</v>
      </c>
      <c r="AF16">
        <f t="shared" si="11"/>
        <v>1</v>
      </c>
      <c r="AH16" t="str">
        <f t="shared" si="12"/>
        <v/>
      </c>
      <c r="AI16" t="str">
        <f t="shared" si="13"/>
        <v>Complete</v>
      </c>
    </row>
    <row r="17" spans="1:35">
      <c r="A17">
        <v>26355</v>
      </c>
      <c r="B17" s="6">
        <v>45470.924976851849</v>
      </c>
      <c r="C17" s="3">
        <f t="shared" si="0"/>
        <v>45470</v>
      </c>
      <c r="D17" s="2">
        <f t="shared" si="1"/>
        <v>0.92497685184935108</v>
      </c>
      <c r="E17">
        <v>64</v>
      </c>
      <c r="F17" t="s">
        <v>21</v>
      </c>
      <c r="G17" t="str">
        <f t="shared" si="2"/>
        <v>Midwest</v>
      </c>
      <c r="H17" t="s">
        <v>30</v>
      </c>
      <c r="I17" t="str">
        <f t="shared" si="3"/>
        <v>Mobile App</v>
      </c>
      <c r="J17">
        <v>18653</v>
      </c>
      <c r="K17" t="s">
        <v>6</v>
      </c>
      <c r="L17" t="str">
        <f t="shared" si="4"/>
        <v>Corporate</v>
      </c>
      <c r="M17" t="s">
        <v>1</v>
      </c>
      <c r="N17" t="str">
        <f t="shared" si="5"/>
        <v>Beauty</v>
      </c>
      <c r="O17" t="s">
        <v>31</v>
      </c>
      <c r="P17" t="str">
        <f>IF(LEN(TRIM(Table1[[#This Row],[subcategory]]&amp;""))=0,"Unknown", PROPER(TRIM(Table1[[#This Row],[subcategory]])))</f>
        <v>Skincare</v>
      </c>
      <c r="Q17">
        <v>106.04</v>
      </c>
      <c r="R17" s="1">
        <f t="shared" si="6"/>
        <v>106.04</v>
      </c>
      <c r="S17">
        <v>4</v>
      </c>
      <c r="T17">
        <f t="shared" si="7"/>
        <v>4</v>
      </c>
      <c r="U17">
        <v>424.16</v>
      </c>
      <c r="V17" s="1">
        <f t="shared" si="8"/>
        <v>424.16</v>
      </c>
      <c r="W17" s="1">
        <v>355.44607999999999</v>
      </c>
      <c r="X17" s="1">
        <f t="shared" si="9"/>
        <v>355.44607999999999</v>
      </c>
      <c r="Y17" s="5" t="s">
        <v>180</v>
      </c>
      <c r="Z17" s="4" cm="1">
        <f t="array" ref="Z17">IF(
    LEN(TRIM(Y17&amp;""))=0,
        IF(AND(ISNUMBER(net_sales_clean), ISNUMBER(profit_clean)),
            net_sales_clean - profit_clean,
            ""
        ),
    VALUE(SUBSTITUTE(Y17,"$",""))
)</f>
        <v>272.62078761643102</v>
      </c>
      <c r="AA17" s="5" t="s">
        <v>179</v>
      </c>
      <c r="AB17" s="4" cm="1">
        <f t="array" ref="AB17">IF(
    LEN(TRIM(AA17&amp;""))=0,
        IF(AND(ISNUMBER(net_sales_clean), ISNUMBER(cost_clean)),
            net_sales_clean - cost_clean,
            ""
        ),
    VALUE(SUBSTITUTE(AA17,"$",""))
)</f>
        <v>82.825292383568296</v>
      </c>
      <c r="AC17">
        <v>3</v>
      </c>
      <c r="AD17">
        <f t="shared" si="10"/>
        <v>3</v>
      </c>
      <c r="AE17">
        <v>3</v>
      </c>
      <c r="AF17">
        <f t="shared" si="11"/>
        <v>3</v>
      </c>
      <c r="AG17">
        <v>0</v>
      </c>
      <c r="AH17">
        <f t="shared" si="12"/>
        <v>0</v>
      </c>
      <c r="AI17" t="str">
        <f t="shared" si="13"/>
        <v>Complete</v>
      </c>
    </row>
    <row r="18" spans="1:35">
      <c r="A18">
        <v>30196</v>
      </c>
      <c r="B18" s="6">
        <v>45403.673472222225</v>
      </c>
      <c r="C18" s="3">
        <f t="shared" si="0"/>
        <v>45403</v>
      </c>
      <c r="D18" s="2">
        <f t="shared" si="1"/>
        <v>0.67347222222451819</v>
      </c>
      <c r="E18">
        <v>6</v>
      </c>
      <c r="F18" t="s">
        <v>33</v>
      </c>
      <c r="G18" t="str">
        <f t="shared" si="2"/>
        <v>South</v>
      </c>
      <c r="H18" t="s">
        <v>7</v>
      </c>
      <c r="I18" t="str">
        <f t="shared" si="3"/>
        <v>In Store</v>
      </c>
      <c r="J18">
        <v>27272</v>
      </c>
      <c r="K18" t="s">
        <v>6</v>
      </c>
      <c r="L18" t="str">
        <f t="shared" si="4"/>
        <v>Corporate</v>
      </c>
      <c r="M18" t="s">
        <v>1</v>
      </c>
      <c r="N18" t="str">
        <f t="shared" si="5"/>
        <v>Beauty</v>
      </c>
      <c r="O18" t="s">
        <v>31</v>
      </c>
      <c r="P18" t="str">
        <f>IF(LEN(TRIM(Table1[[#This Row],[subcategory]]&amp;""))=0,"Unknown", PROPER(TRIM(Table1[[#This Row],[subcategory]])))</f>
        <v>Skincare</v>
      </c>
      <c r="Q18">
        <v>48.65</v>
      </c>
      <c r="R18" s="1">
        <f t="shared" si="6"/>
        <v>48.65</v>
      </c>
      <c r="S18">
        <v>2</v>
      </c>
      <c r="T18">
        <f t="shared" si="7"/>
        <v>2</v>
      </c>
      <c r="U18">
        <v>97.3</v>
      </c>
      <c r="V18" s="1">
        <f t="shared" si="8"/>
        <v>97.3</v>
      </c>
      <c r="W18" s="1">
        <v>88.834900000000005</v>
      </c>
      <c r="X18" s="1">
        <f t="shared" si="9"/>
        <v>88.834900000000005</v>
      </c>
      <c r="Y18" s="5" t="s">
        <v>178</v>
      </c>
      <c r="Z18" s="4" cm="1">
        <f t="array" ref="Z18">IF(
    LEN(TRIM(Y18&amp;""))=0,
        IF(AND(ISNUMBER(net_sales_clean), ISNUMBER(profit_clean)),
            net_sales_clean - profit_clean,
            ""
        ),
    VALUE(SUBSTITUTE(Y18,"$",""))
)</f>
        <v>66.690223253986105</v>
      </c>
      <c r="AA18" s="5" t="s">
        <v>177</v>
      </c>
      <c r="AB18" s="4" cm="1">
        <f t="array" ref="AB18">IF(
    LEN(TRIM(AA18&amp;""))=0,
        IF(AND(ISNUMBER(net_sales_clean), ISNUMBER(cost_clean)),
            net_sales_clean - cost_clean,
            ""
        ),
    VALUE(SUBSTITUTE(AA18,"$",""))
)</f>
        <v>22.144676746013801</v>
      </c>
      <c r="AC18">
        <v>7</v>
      </c>
      <c r="AD18">
        <f t="shared" si="10"/>
        <v>7</v>
      </c>
      <c r="AF18" t="str">
        <f t="shared" si="11"/>
        <v/>
      </c>
      <c r="AG18">
        <v>0</v>
      </c>
      <c r="AH18">
        <f t="shared" si="12"/>
        <v>0</v>
      </c>
      <c r="AI18" t="str">
        <f t="shared" si="13"/>
        <v>Complete</v>
      </c>
    </row>
    <row r="19" spans="1:35">
      <c r="A19">
        <v>47039</v>
      </c>
      <c r="B19" s="6">
        <v>45723.997141203705</v>
      </c>
      <c r="C19" s="3">
        <f t="shared" si="0"/>
        <v>45723</v>
      </c>
      <c r="D19" s="2">
        <f t="shared" si="1"/>
        <v>0.99714120370481396</v>
      </c>
      <c r="E19">
        <v>84</v>
      </c>
      <c r="F19" t="s">
        <v>13</v>
      </c>
      <c r="G19" t="str">
        <f t="shared" si="2"/>
        <v>Northeast</v>
      </c>
      <c r="H19" t="s">
        <v>11</v>
      </c>
      <c r="I19" t="str">
        <f t="shared" si="3"/>
        <v>Online</v>
      </c>
      <c r="J19">
        <v>19083</v>
      </c>
      <c r="K19" t="s">
        <v>10</v>
      </c>
      <c r="L19" t="str">
        <f t="shared" si="4"/>
        <v>Consumer</v>
      </c>
      <c r="M19" t="s">
        <v>16</v>
      </c>
      <c r="N19" t="str">
        <f t="shared" si="5"/>
        <v>Grocery</v>
      </c>
      <c r="O19" t="s">
        <v>29</v>
      </c>
      <c r="P19" t="str">
        <f>IF(LEN(TRIM(Table1[[#This Row],[subcategory]]&amp;""))=0,"Unknown", PROPER(TRIM(Table1[[#This Row],[subcategory]])))</f>
        <v>Beverages</v>
      </c>
      <c r="Q19">
        <v>20.440000000000001</v>
      </c>
      <c r="R19" s="1">
        <f t="shared" si="6"/>
        <v>20.440000000000001</v>
      </c>
      <c r="S19">
        <v>1</v>
      </c>
      <c r="T19">
        <f t="shared" si="7"/>
        <v>1</v>
      </c>
      <c r="U19">
        <v>20.440000000000001</v>
      </c>
      <c r="V19" s="1">
        <f t="shared" si="8"/>
        <v>20.440000000000001</v>
      </c>
      <c r="W19" s="4" t="s">
        <v>176</v>
      </c>
      <c r="X19" s="4">
        <f t="shared" si="9"/>
        <v>18.334679999999999</v>
      </c>
      <c r="Y19" s="5" t="s">
        <v>175</v>
      </c>
      <c r="Z19" s="4" cm="1">
        <f t="array" ref="Z19">IF(
    LEN(TRIM(Y19&amp;""))=0,
        IF(AND(ISNUMBER(net_sales_clean), ISNUMBER(profit_clean)),
            net_sales_clean - profit_clean,
            ""
        ),
    VALUE(SUBSTITUTE(Y19,"$",""))
)</f>
        <v>11.632827429824401</v>
      </c>
      <c r="AA19" s="5" t="s">
        <v>174</v>
      </c>
      <c r="AB19" s="4" cm="1">
        <f t="array" ref="AB19">IF(
    LEN(TRIM(AA19&amp;""))=0,
        IF(AND(ISNUMBER(net_sales_clean), ISNUMBER(cost_clean)),
            net_sales_clean - cost_clean,
            ""
        ),
    VALUE(SUBSTITUTE(AA19,"$",""))
)</f>
        <v>6.7018525701755802</v>
      </c>
      <c r="AC19">
        <v>9</v>
      </c>
      <c r="AD19">
        <f t="shared" si="10"/>
        <v>9</v>
      </c>
      <c r="AE19">
        <v>3</v>
      </c>
      <c r="AF19">
        <f t="shared" si="11"/>
        <v>3</v>
      </c>
      <c r="AG19">
        <v>0</v>
      </c>
      <c r="AH19">
        <f t="shared" si="12"/>
        <v>0</v>
      </c>
      <c r="AI19" t="str">
        <f t="shared" si="13"/>
        <v>Complete</v>
      </c>
    </row>
    <row r="20" spans="1:35">
      <c r="A20">
        <v>20732</v>
      </c>
      <c r="B20" s="6">
        <v>45462.738761574074</v>
      </c>
      <c r="C20" s="3">
        <f t="shared" si="0"/>
        <v>45462</v>
      </c>
      <c r="D20" s="2">
        <f t="shared" si="1"/>
        <v>0.73876157407357823</v>
      </c>
      <c r="E20">
        <v>68</v>
      </c>
      <c r="F20" t="s">
        <v>4</v>
      </c>
      <c r="G20" t="str">
        <f t="shared" si="2"/>
        <v>South</v>
      </c>
      <c r="H20" t="s">
        <v>30</v>
      </c>
      <c r="I20" t="str">
        <f t="shared" si="3"/>
        <v>Mobile App</v>
      </c>
      <c r="J20">
        <v>17938</v>
      </c>
      <c r="K20" t="s">
        <v>14</v>
      </c>
      <c r="L20" t="str">
        <f t="shared" si="4"/>
        <v>Consumer</v>
      </c>
      <c r="M20" t="s">
        <v>19</v>
      </c>
      <c r="N20" t="str">
        <f t="shared" si="5"/>
        <v>Apparel</v>
      </c>
      <c r="O20" t="s">
        <v>26</v>
      </c>
      <c r="P20" t="str">
        <f>IF(LEN(TRIM(Table1[[#This Row],[subcategory]]&amp;""))=0,"Unknown", PROPER(TRIM(Table1[[#This Row],[subcategory]])))</f>
        <v>Kids</v>
      </c>
      <c r="Q20">
        <v>85.97</v>
      </c>
      <c r="R20" s="1">
        <f t="shared" si="6"/>
        <v>85.97</v>
      </c>
      <c r="S20">
        <v>3</v>
      </c>
      <c r="T20">
        <f t="shared" si="7"/>
        <v>3</v>
      </c>
      <c r="U20" s="5" t="s">
        <v>173</v>
      </c>
      <c r="V20" s="4">
        <f t="shared" si="8"/>
        <v>257.909999999999</v>
      </c>
      <c r="W20" s="4" t="s">
        <v>172</v>
      </c>
      <c r="X20" s="4">
        <f t="shared" si="9"/>
        <v>189.305939999999</v>
      </c>
      <c r="Y20" s="5" t="s">
        <v>171</v>
      </c>
      <c r="Z20" s="4" cm="1">
        <f t="array" ref="Z20">IF(
    LEN(TRIM(Y20&amp;""))=0,
        IF(AND(ISNUMBER(net_sales_clean), ISNUMBER(profit_clean)),
            net_sales_clean - profit_clean,
            ""
        ),
    VALUE(SUBSTITUTE(Y20,"$",""))
)</f>
        <v>160.12405618387399</v>
      </c>
      <c r="AA20" s="5" t="s">
        <v>170</v>
      </c>
      <c r="AB20" s="4" cm="1">
        <f t="array" ref="AB20">IF(
    LEN(TRIM(AA20&amp;""))=0,
        IF(AND(ISNUMBER(net_sales_clean), ISNUMBER(cost_clean)),
            net_sales_clean - cost_clean,
            ""
        ),
    VALUE(SUBSTITUTE(AA20,"$",""))
)</f>
        <v>29.181883816125101</v>
      </c>
      <c r="AC20">
        <v>1</v>
      </c>
      <c r="AD20">
        <f t="shared" si="10"/>
        <v>1</v>
      </c>
      <c r="AE20">
        <v>4</v>
      </c>
      <c r="AF20">
        <f t="shared" si="11"/>
        <v>4</v>
      </c>
      <c r="AG20">
        <v>0</v>
      </c>
      <c r="AH20">
        <f t="shared" si="12"/>
        <v>0</v>
      </c>
      <c r="AI20" t="str">
        <f t="shared" si="13"/>
        <v>Complete</v>
      </c>
    </row>
    <row r="21" spans="1:35">
      <c r="A21">
        <v>34048</v>
      </c>
      <c r="B21" s="6">
        <v>45886.009918981479</v>
      </c>
      <c r="C21" s="3">
        <f t="shared" si="0"/>
        <v>45886</v>
      </c>
      <c r="D21" s="2">
        <f t="shared" si="1"/>
        <v>9.9189814791316167E-3</v>
      </c>
      <c r="E21">
        <v>75</v>
      </c>
      <c r="F21" t="s">
        <v>15</v>
      </c>
      <c r="G21" t="str">
        <f t="shared" si="2"/>
        <v>West</v>
      </c>
      <c r="H21" t="s">
        <v>27</v>
      </c>
      <c r="I21" t="str">
        <f t="shared" si="3"/>
        <v>In Store</v>
      </c>
      <c r="J21">
        <v>16126</v>
      </c>
      <c r="K21" t="s">
        <v>2</v>
      </c>
      <c r="L21" t="str">
        <f t="shared" si="4"/>
        <v>Home Office</v>
      </c>
      <c r="M21" t="s">
        <v>16</v>
      </c>
      <c r="N21" t="str">
        <f t="shared" si="5"/>
        <v>Grocery</v>
      </c>
      <c r="O21" t="s">
        <v>28</v>
      </c>
      <c r="P21" t="str">
        <f>IF(LEN(TRIM(Table1[[#This Row],[subcategory]]&amp;""))=0,"Unknown", PROPER(TRIM(Table1[[#This Row],[subcategory]])))</f>
        <v>Pantry</v>
      </c>
      <c r="R21" s="1" t="str">
        <f t="shared" si="6"/>
        <v/>
      </c>
      <c r="S21">
        <v>0</v>
      </c>
      <c r="T21">
        <f t="shared" si="7"/>
        <v>0</v>
      </c>
      <c r="V21" s="1" t="str">
        <f t="shared" si="8"/>
        <v/>
      </c>
      <c r="X21" s="1" t="str">
        <f t="shared" si="9"/>
        <v/>
      </c>
      <c r="Z21" s="1" t="str" cm="1">
        <f t="array" ref="Z21">IF(
    LEN(TRIM(Y21&amp;""))=0,
        IF(AND(ISNUMBER(net_sales_clean), ISNUMBER(profit_clean)),
            net_sales_clean - profit_clean,
            ""
        ),
    VALUE(SUBSTITUTE(Y21,"$",""))
)</f>
        <v/>
      </c>
      <c r="AB21" s="1" t="str" cm="1">
        <f t="array" ref="AB21">IF(
    LEN(TRIM(AA21&amp;""))=0,
        IF(AND(ISNUMBER(net_sales_clean), ISNUMBER(cost_clean)),
            net_sales_clean - cost_clean,
            ""
        ),
    VALUE(SUBSTITUTE(AA21,"$",""))
)</f>
        <v/>
      </c>
      <c r="AC21">
        <v>9</v>
      </c>
      <c r="AD21">
        <f t="shared" si="10"/>
        <v>9</v>
      </c>
      <c r="AE21">
        <v>2</v>
      </c>
      <c r="AF21">
        <f t="shared" si="11"/>
        <v>2</v>
      </c>
      <c r="AG21">
        <v>0</v>
      </c>
      <c r="AH21">
        <f t="shared" si="12"/>
        <v>0</v>
      </c>
      <c r="AI21" t="str">
        <f t="shared" si="13"/>
        <v>Not Usable</v>
      </c>
    </row>
    <row r="22" spans="1:35">
      <c r="A22">
        <v>26065</v>
      </c>
      <c r="B22" s="6">
        <v>45025.329687500001</v>
      </c>
      <c r="C22" s="3">
        <f t="shared" si="0"/>
        <v>45025</v>
      </c>
      <c r="D22" s="2">
        <f t="shared" si="1"/>
        <v>0.32968750000145519</v>
      </c>
      <c r="E22">
        <v>35</v>
      </c>
      <c r="F22" t="s">
        <v>4</v>
      </c>
      <c r="G22" t="str">
        <f t="shared" si="2"/>
        <v>South</v>
      </c>
      <c r="H22" t="s">
        <v>7</v>
      </c>
      <c r="I22" t="str">
        <f t="shared" si="3"/>
        <v>In Store</v>
      </c>
      <c r="J22">
        <v>24537</v>
      </c>
      <c r="K22" t="s">
        <v>6</v>
      </c>
      <c r="L22" t="str">
        <f t="shared" si="4"/>
        <v>Corporate</v>
      </c>
      <c r="M22" t="s">
        <v>16</v>
      </c>
      <c r="N22" t="str">
        <f t="shared" si="5"/>
        <v>Grocery</v>
      </c>
      <c r="O22" t="s">
        <v>36</v>
      </c>
      <c r="P22" t="str">
        <f>IF(LEN(TRIM(Table1[[#This Row],[subcategory]]&amp;""))=0,"Unknown", PROPER(TRIM(Table1[[#This Row],[subcategory]])))</f>
        <v>Produce</v>
      </c>
      <c r="Q22">
        <v>106.76</v>
      </c>
      <c r="R22" s="1">
        <f t="shared" si="6"/>
        <v>106.76</v>
      </c>
      <c r="S22">
        <v>4</v>
      </c>
      <c r="T22">
        <f t="shared" si="7"/>
        <v>4</v>
      </c>
      <c r="U22">
        <v>427.04</v>
      </c>
      <c r="V22" s="1">
        <f t="shared" si="8"/>
        <v>427.04</v>
      </c>
      <c r="W22" s="1">
        <v>367.68144000000001</v>
      </c>
      <c r="X22" s="1">
        <f t="shared" si="9"/>
        <v>367.68144000000001</v>
      </c>
      <c r="Y22" s="5" t="s">
        <v>169</v>
      </c>
      <c r="Z22" s="4" cm="1">
        <f t="array" ref="Z22">IF(
    LEN(TRIM(Y22&amp;""))=0,
        IF(AND(ISNUMBER(net_sales_clean), ISNUMBER(profit_clean)),
            net_sales_clean - profit_clean,
            ""
        ),
    VALUE(SUBSTITUTE(Y22,"$",""))
)</f>
        <v>228.16149957487801</v>
      </c>
      <c r="AA22" s="5" t="s">
        <v>168</v>
      </c>
      <c r="AB22" s="4" cm="1">
        <f t="array" ref="AB22">IF(
    LEN(TRIM(AA22&amp;""))=0,
        IF(AND(ISNUMBER(net_sales_clean), ISNUMBER(cost_clean)),
            net_sales_clean - cost_clean,
            ""
        ),
    VALUE(SUBSTITUTE(AA22,"$",""))
)</f>
        <v>139.51994042512101</v>
      </c>
      <c r="AC22">
        <v>2</v>
      </c>
      <c r="AD22">
        <f t="shared" si="10"/>
        <v>2</v>
      </c>
      <c r="AF22" t="str">
        <f t="shared" si="11"/>
        <v/>
      </c>
      <c r="AG22">
        <v>0</v>
      </c>
      <c r="AH22">
        <f t="shared" si="12"/>
        <v>0</v>
      </c>
      <c r="AI22" t="str">
        <f t="shared" si="13"/>
        <v>Complete</v>
      </c>
    </row>
    <row r="23" spans="1:35">
      <c r="A23">
        <v>42470</v>
      </c>
      <c r="B23" s="6">
        <v>44940.124664351853</v>
      </c>
      <c r="C23" s="3">
        <f t="shared" si="0"/>
        <v>44940</v>
      </c>
      <c r="D23" s="2">
        <f t="shared" si="1"/>
        <v>0.12466435185342561</v>
      </c>
      <c r="E23">
        <v>19</v>
      </c>
      <c r="F23" t="s">
        <v>21</v>
      </c>
      <c r="G23" t="str">
        <f t="shared" si="2"/>
        <v>Midwest</v>
      </c>
      <c r="H23" t="s">
        <v>30</v>
      </c>
      <c r="I23" t="str">
        <f t="shared" si="3"/>
        <v>Mobile App</v>
      </c>
      <c r="J23">
        <v>26949</v>
      </c>
      <c r="K23" t="s">
        <v>14</v>
      </c>
      <c r="L23" t="str">
        <f t="shared" si="4"/>
        <v>Consumer</v>
      </c>
      <c r="M23" t="s">
        <v>9</v>
      </c>
      <c r="N23" t="str">
        <f t="shared" si="5"/>
        <v>Home</v>
      </c>
      <c r="O23" t="s">
        <v>35</v>
      </c>
      <c r="P23" t="str">
        <f>IF(LEN(TRIM(Table1[[#This Row],[subcategory]]&amp;""))=0,"Unknown", PROPER(TRIM(Table1[[#This Row],[subcategory]])))</f>
        <v>Bedding</v>
      </c>
      <c r="Q23">
        <v>127.61</v>
      </c>
      <c r="R23" s="1">
        <f t="shared" si="6"/>
        <v>127.61</v>
      </c>
      <c r="S23">
        <v>4</v>
      </c>
      <c r="T23">
        <f t="shared" si="7"/>
        <v>4</v>
      </c>
      <c r="U23">
        <v>510.44</v>
      </c>
      <c r="V23" s="1">
        <f t="shared" si="8"/>
        <v>510.44</v>
      </c>
      <c r="W23" s="1">
        <v>261.34528</v>
      </c>
      <c r="X23" s="1">
        <f t="shared" si="9"/>
        <v>261.34528</v>
      </c>
      <c r="Y23" s="5" t="s">
        <v>167</v>
      </c>
      <c r="Z23" s="4" cm="1">
        <f t="array" ref="Z23">IF(
    LEN(TRIM(Y23&amp;""))=0,
        IF(AND(ISNUMBER(net_sales_clean), ISNUMBER(profit_clean)),
            net_sales_clean - profit_clean,
            ""
        ),
    VALUE(SUBSTITUTE(Y23,"$",""))
)</f>
        <v>220.880921709756</v>
      </c>
      <c r="AA23" s="5" t="s">
        <v>166</v>
      </c>
      <c r="AB23" s="4" cm="1">
        <f t="array" ref="AB23">IF(
    LEN(TRIM(AA23&amp;""))=0,
        IF(AND(ISNUMBER(net_sales_clean), ISNUMBER(cost_clean)),
            net_sales_clean - cost_clean,
            ""
        ),
    VALUE(SUBSTITUTE(AA23,"$",""))
)</f>
        <v>40.464358290243602</v>
      </c>
      <c r="AC23">
        <v>7</v>
      </c>
      <c r="AD23">
        <f t="shared" si="10"/>
        <v>7</v>
      </c>
      <c r="AE23">
        <v>4</v>
      </c>
      <c r="AF23">
        <f t="shared" si="11"/>
        <v>4</v>
      </c>
      <c r="AG23">
        <v>0</v>
      </c>
      <c r="AH23">
        <f t="shared" si="12"/>
        <v>0</v>
      </c>
      <c r="AI23" t="str">
        <f t="shared" si="13"/>
        <v>Complete</v>
      </c>
    </row>
    <row r="24" spans="1:35">
      <c r="A24">
        <v>29747</v>
      </c>
      <c r="B24" s="6">
        <v>45703.901006944441</v>
      </c>
      <c r="C24" s="3">
        <f t="shared" si="0"/>
        <v>45703</v>
      </c>
      <c r="D24" s="2">
        <f t="shared" si="1"/>
        <v>0.90100694444117835</v>
      </c>
      <c r="E24">
        <v>65</v>
      </c>
      <c r="F24" t="s">
        <v>33</v>
      </c>
      <c r="G24" t="str">
        <f t="shared" si="2"/>
        <v>South</v>
      </c>
      <c r="H24" t="s">
        <v>17</v>
      </c>
      <c r="I24" t="str">
        <f t="shared" si="3"/>
        <v>Online</v>
      </c>
      <c r="J24">
        <v>23239</v>
      </c>
      <c r="K24" t="s">
        <v>14</v>
      </c>
      <c r="L24" t="str">
        <f t="shared" si="4"/>
        <v>Consumer</v>
      </c>
      <c r="M24" t="s">
        <v>19</v>
      </c>
      <c r="N24" t="str">
        <f t="shared" si="5"/>
        <v>Apparel</v>
      </c>
      <c r="O24" t="s">
        <v>18</v>
      </c>
      <c r="P24" t="str">
        <f>IF(LEN(TRIM(Table1[[#This Row],[subcategory]]&amp;""))=0,"Unknown", PROPER(TRIM(Table1[[#This Row],[subcategory]])))</f>
        <v>Men</v>
      </c>
      <c r="Q24">
        <v>24.6</v>
      </c>
      <c r="R24" s="1">
        <f t="shared" si="6"/>
        <v>24.6</v>
      </c>
      <c r="S24">
        <v>1</v>
      </c>
      <c r="T24">
        <f t="shared" si="7"/>
        <v>1</v>
      </c>
      <c r="U24">
        <v>24.6</v>
      </c>
      <c r="V24" s="1">
        <f t="shared" si="8"/>
        <v>24.6</v>
      </c>
      <c r="W24" s="4" t="s">
        <v>165</v>
      </c>
      <c r="X24" s="4">
        <f t="shared" si="9"/>
        <v>23.099399999999999</v>
      </c>
      <c r="Z24" s="1" t="str" cm="1">
        <f t="array" ref="Z24">IF(
    LEN(TRIM(Y24&amp;""))=0,
        IF(AND(ISNUMBER(net_sales_clean), ISNUMBER(profit_clean)),
            net_sales_clean - profit_clean,
            ""
        ),
    VALUE(SUBSTITUTE(Y24,"$",""))
)</f>
        <v/>
      </c>
      <c r="AB24" s="1" t="str" cm="1">
        <f t="array" ref="AB24">IF(
    LEN(TRIM(AA24&amp;""))=0,
        IF(AND(ISNUMBER(net_sales_clean), ISNUMBER(cost_clean)),
            net_sales_clean - cost_clean,
            ""
        ),
    VALUE(SUBSTITUTE(AA24,"$",""))
)</f>
        <v/>
      </c>
      <c r="AC24">
        <v>3</v>
      </c>
      <c r="AD24">
        <f t="shared" si="10"/>
        <v>3</v>
      </c>
      <c r="AE24">
        <v>2</v>
      </c>
      <c r="AF24">
        <f t="shared" si="11"/>
        <v>2</v>
      </c>
      <c r="AG24">
        <v>0</v>
      </c>
      <c r="AH24">
        <f t="shared" si="12"/>
        <v>0</v>
      </c>
      <c r="AI24" t="str">
        <f t="shared" si="13"/>
        <v>Incomplete</v>
      </c>
    </row>
    <row r="25" spans="1:35">
      <c r="A25">
        <v>14523</v>
      </c>
      <c r="B25" s="6">
        <v>45944.248171296298</v>
      </c>
      <c r="C25" s="3">
        <f t="shared" si="0"/>
        <v>45944</v>
      </c>
      <c r="D25" s="2">
        <f t="shared" si="1"/>
        <v>0.24817129629809642</v>
      </c>
      <c r="E25">
        <v>63</v>
      </c>
      <c r="F25" t="s">
        <v>13</v>
      </c>
      <c r="G25" t="str">
        <f t="shared" si="2"/>
        <v>Northeast</v>
      </c>
      <c r="H25" t="s">
        <v>30</v>
      </c>
      <c r="I25" t="str">
        <f t="shared" si="3"/>
        <v>Mobile App</v>
      </c>
      <c r="J25">
        <v>22236</v>
      </c>
      <c r="K25" t="s">
        <v>6</v>
      </c>
      <c r="L25" t="str">
        <f t="shared" si="4"/>
        <v>Corporate</v>
      </c>
      <c r="M25" t="s">
        <v>9</v>
      </c>
      <c r="N25" t="str">
        <f t="shared" si="5"/>
        <v>Home</v>
      </c>
      <c r="O25" t="s">
        <v>32</v>
      </c>
      <c r="P25" t="str">
        <f>IF(LEN(TRIM(Table1[[#This Row],[subcategory]]&amp;""))=0,"Unknown", PROPER(TRIM(Table1[[#This Row],[subcategory]])))</f>
        <v>Furniture</v>
      </c>
      <c r="Q25">
        <v>43.87</v>
      </c>
      <c r="R25" s="1">
        <f t="shared" si="6"/>
        <v>43.87</v>
      </c>
      <c r="S25">
        <v>2</v>
      </c>
      <c r="T25">
        <f t="shared" si="7"/>
        <v>2</v>
      </c>
      <c r="U25">
        <v>87.74</v>
      </c>
      <c r="V25" s="1">
        <f t="shared" si="8"/>
        <v>87.74</v>
      </c>
      <c r="W25" s="4" t="s">
        <v>164</v>
      </c>
      <c r="X25" s="4">
        <f t="shared" si="9"/>
        <v>67.296579999999906</v>
      </c>
      <c r="Y25" s="5" t="s">
        <v>163</v>
      </c>
      <c r="Z25" s="4" cm="1">
        <f t="array" ref="Z25">IF(
    LEN(TRIM(Y25&amp;""))=0,
        IF(AND(ISNUMBER(net_sales_clean), ISNUMBER(profit_clean)),
            net_sales_clean - profit_clean,
            ""
        ),
    VALUE(SUBSTITUTE(Y25,"$",""))
)</f>
        <v>43.886349916696297</v>
      </c>
      <c r="AA25" s="5" t="s">
        <v>162</v>
      </c>
      <c r="AB25" s="4" cm="1">
        <f t="array" ref="AB25">IF(
    LEN(TRIM(AA25&amp;""))=0,
        IF(AND(ISNUMBER(net_sales_clean), ISNUMBER(cost_clean)),
            net_sales_clean - cost_clean,
            ""
        ),
    VALUE(SUBSTITUTE(AA25,"$",""))
)</f>
        <v>23.410230083303599</v>
      </c>
      <c r="AC25">
        <v>4</v>
      </c>
      <c r="AD25">
        <f t="shared" si="10"/>
        <v>4</v>
      </c>
      <c r="AE25">
        <v>1</v>
      </c>
      <c r="AF25">
        <f t="shared" si="11"/>
        <v>1</v>
      </c>
      <c r="AG25">
        <v>0</v>
      </c>
      <c r="AH25">
        <f t="shared" si="12"/>
        <v>0</v>
      </c>
      <c r="AI25" t="str">
        <f t="shared" si="13"/>
        <v>Complete</v>
      </c>
    </row>
    <row r="26" spans="1:35">
      <c r="A26">
        <v>31573</v>
      </c>
      <c r="B26" s="6">
        <v>45132.026909722219</v>
      </c>
      <c r="C26" s="3">
        <f t="shared" si="0"/>
        <v>45132</v>
      </c>
      <c r="D26" s="2">
        <f t="shared" si="1"/>
        <v>2.6909722218988463E-2</v>
      </c>
      <c r="E26">
        <v>18</v>
      </c>
      <c r="F26" t="s">
        <v>8</v>
      </c>
      <c r="G26" t="str">
        <f t="shared" si="2"/>
        <v>West</v>
      </c>
      <c r="H26" t="s">
        <v>27</v>
      </c>
      <c r="I26" t="str">
        <f t="shared" si="3"/>
        <v>In Store</v>
      </c>
      <c r="J26">
        <v>26093</v>
      </c>
      <c r="K26" t="s">
        <v>6</v>
      </c>
      <c r="L26" t="str">
        <f t="shared" si="4"/>
        <v>Corporate</v>
      </c>
      <c r="M26" t="s">
        <v>23</v>
      </c>
      <c r="N26" t="str">
        <f t="shared" si="5"/>
        <v>Electronics</v>
      </c>
      <c r="O26" t="s">
        <v>22</v>
      </c>
      <c r="P26" t="str">
        <f>IF(LEN(TRIM(Table1[[#This Row],[subcategory]]&amp;""))=0,"Unknown", PROPER(TRIM(Table1[[#This Row],[subcategory]])))</f>
        <v>Audio</v>
      </c>
      <c r="Q26">
        <v>36.31</v>
      </c>
      <c r="R26" s="1">
        <f t="shared" si="6"/>
        <v>36.31</v>
      </c>
      <c r="S26">
        <v>3</v>
      </c>
      <c r="T26">
        <f t="shared" si="7"/>
        <v>3</v>
      </c>
      <c r="U26">
        <v>108.93</v>
      </c>
      <c r="V26" s="1">
        <f t="shared" si="8"/>
        <v>108.93</v>
      </c>
      <c r="W26" s="1">
        <v>106.7514</v>
      </c>
      <c r="X26" s="1">
        <f t="shared" si="9"/>
        <v>106.7514</v>
      </c>
      <c r="Y26">
        <v>61.381092570252001</v>
      </c>
      <c r="Z26" s="1" cm="1">
        <f t="array" ref="Z26">IF(
    LEN(TRIM(Y26&amp;""))=0,
        IF(AND(ISNUMBER(net_sales_clean), ISNUMBER(profit_clean)),
            net_sales_clean - profit_clean,
            ""
        ),
    VALUE(SUBSTITUTE(Y26,"$",""))
)</f>
        <v>61.381092570252001</v>
      </c>
      <c r="AA26">
        <v>45.370307429748003</v>
      </c>
      <c r="AB26" s="1" cm="1">
        <f t="array" ref="AB26">IF(
    LEN(TRIM(AA26&amp;""))=0,
        IF(AND(ISNUMBER(net_sales_clean), ISNUMBER(cost_clean)),
            net_sales_clean - cost_clean,
            ""
        ),
    VALUE(SUBSTITUTE(AA26,"$",""))
)</f>
        <v>45.370307429748003</v>
      </c>
      <c r="AC26">
        <v>5</v>
      </c>
      <c r="AD26">
        <f t="shared" si="10"/>
        <v>5</v>
      </c>
      <c r="AE26">
        <v>4</v>
      </c>
      <c r="AF26">
        <f t="shared" si="11"/>
        <v>4</v>
      </c>
      <c r="AG26">
        <v>0</v>
      </c>
      <c r="AH26">
        <f t="shared" si="12"/>
        <v>0</v>
      </c>
      <c r="AI26" t="str">
        <f t="shared" si="13"/>
        <v>Complete</v>
      </c>
    </row>
    <row r="27" spans="1:35">
      <c r="A27">
        <v>54950</v>
      </c>
      <c r="B27" s="6">
        <v>45966.749224537038</v>
      </c>
      <c r="C27" s="3">
        <f t="shared" si="0"/>
        <v>45966</v>
      </c>
      <c r="D27" s="2">
        <f t="shared" si="1"/>
        <v>0.74922453703766223</v>
      </c>
      <c r="E27">
        <v>77</v>
      </c>
      <c r="F27" t="s">
        <v>21</v>
      </c>
      <c r="G27" t="str">
        <f t="shared" si="2"/>
        <v>Midwest</v>
      </c>
      <c r="H27" t="s">
        <v>11</v>
      </c>
      <c r="I27" t="str">
        <f t="shared" si="3"/>
        <v>Online</v>
      </c>
      <c r="J27">
        <v>6499</v>
      </c>
      <c r="K27" t="s">
        <v>10</v>
      </c>
      <c r="L27" t="str">
        <f t="shared" si="4"/>
        <v>Consumer</v>
      </c>
      <c r="M27" t="s">
        <v>16</v>
      </c>
      <c r="N27" t="str">
        <f t="shared" si="5"/>
        <v>Grocery</v>
      </c>
      <c r="O27" t="s">
        <v>24</v>
      </c>
      <c r="P27" t="str">
        <f>IF(LEN(TRIM(Table1[[#This Row],[subcategory]]&amp;""))=0,"Unknown", PROPER(TRIM(Table1[[#This Row],[subcategory]])))</f>
        <v>Snacks</v>
      </c>
      <c r="Q27">
        <v>60.75</v>
      </c>
      <c r="R27" s="1">
        <f t="shared" si="6"/>
        <v>60.75</v>
      </c>
      <c r="T27" t="str">
        <f t="shared" si="7"/>
        <v/>
      </c>
      <c r="V27" s="1" t="str">
        <f t="shared" si="8"/>
        <v/>
      </c>
      <c r="X27" s="1" t="str">
        <f t="shared" si="9"/>
        <v/>
      </c>
      <c r="Z27" s="1" t="str" cm="1">
        <f t="array" ref="Z27">IF(
    LEN(TRIM(Y27&amp;""))=0,
        IF(AND(ISNUMBER(net_sales_clean), ISNUMBER(profit_clean)),
            net_sales_clean - profit_clean,
            ""
        ),
    VALUE(SUBSTITUTE(Y27,"$",""))
)</f>
        <v/>
      </c>
      <c r="AB27" s="1" t="str" cm="1">
        <f t="array" ref="AB27">IF(
    LEN(TRIM(AA27&amp;""))=0,
        IF(AND(ISNUMBER(net_sales_clean), ISNUMBER(cost_clean)),
            net_sales_clean - cost_clean,
            ""
        ),
    VALUE(SUBSTITUTE(AA27,"$",""))
)</f>
        <v/>
      </c>
      <c r="AC27">
        <v>3</v>
      </c>
      <c r="AD27">
        <f t="shared" si="10"/>
        <v>3</v>
      </c>
      <c r="AE27">
        <v>1</v>
      </c>
      <c r="AF27">
        <f t="shared" si="11"/>
        <v>1</v>
      </c>
      <c r="AG27">
        <v>0</v>
      </c>
      <c r="AH27">
        <f t="shared" si="12"/>
        <v>0</v>
      </c>
      <c r="AI27" t="str">
        <f t="shared" si="13"/>
        <v>Incomplete</v>
      </c>
    </row>
    <row r="28" spans="1:35">
      <c r="A28">
        <v>19369</v>
      </c>
      <c r="B28" s="6">
        <v>45299.062858796293</v>
      </c>
      <c r="C28" s="3">
        <f t="shared" si="0"/>
        <v>45299</v>
      </c>
      <c r="D28" s="2">
        <f t="shared" si="1"/>
        <v>6.2858796292857733E-2</v>
      </c>
      <c r="E28">
        <v>42</v>
      </c>
      <c r="F28" t="s">
        <v>15</v>
      </c>
      <c r="G28" t="str">
        <f t="shared" si="2"/>
        <v>West</v>
      </c>
      <c r="H28" t="s">
        <v>17</v>
      </c>
      <c r="I28" t="str">
        <f t="shared" si="3"/>
        <v>Online</v>
      </c>
      <c r="J28">
        <v>26382</v>
      </c>
      <c r="K28" t="s">
        <v>14</v>
      </c>
      <c r="L28" t="str">
        <f t="shared" si="4"/>
        <v>Consumer</v>
      </c>
      <c r="M28" t="s">
        <v>23</v>
      </c>
      <c r="N28" t="str">
        <f t="shared" si="5"/>
        <v>Electronics</v>
      </c>
      <c r="O28" t="s">
        <v>25</v>
      </c>
      <c r="P28" t="str">
        <f>IF(LEN(TRIM(Table1[[#This Row],[subcategory]]&amp;""))=0,"Unknown", PROPER(TRIM(Table1[[#This Row],[subcategory]])))</f>
        <v>Laptops</v>
      </c>
      <c r="Q28">
        <v>56.01</v>
      </c>
      <c r="R28" s="1">
        <f t="shared" si="6"/>
        <v>56.01</v>
      </c>
      <c r="S28">
        <v>4</v>
      </c>
      <c r="T28">
        <f t="shared" si="7"/>
        <v>4</v>
      </c>
      <c r="U28">
        <v>224.04</v>
      </c>
      <c r="V28" s="1">
        <f t="shared" si="8"/>
        <v>224.04</v>
      </c>
      <c r="W28" s="4" t="s">
        <v>161</v>
      </c>
      <c r="X28" s="4">
        <f t="shared" si="9"/>
        <v>206.34083999999999</v>
      </c>
      <c r="Y28" s="5" t="s">
        <v>160</v>
      </c>
      <c r="Z28" s="4" cm="1">
        <f t="array" ref="Z28">IF(
    LEN(TRIM(Y28&amp;""))=0,
        IF(AND(ISNUMBER(net_sales_clean), ISNUMBER(profit_clean)),
            net_sales_clean - profit_clean,
            ""
        ),
    VALUE(SUBSTITUTE(Y28,"$",""))
)</f>
        <v>158.018268553208</v>
      </c>
      <c r="AA28" s="5" t="s">
        <v>159</v>
      </c>
      <c r="AB28" s="4" cm="1">
        <f t="array" ref="AB28">IF(
    LEN(TRIM(AA28&amp;""))=0,
        IF(AND(ISNUMBER(net_sales_clean), ISNUMBER(cost_clean)),
            net_sales_clean - cost_clean,
            ""
        ),
    VALUE(SUBSTITUTE(AA28,"$",""))
)</f>
        <v>48.322571446791102</v>
      </c>
      <c r="AC28">
        <v>3</v>
      </c>
      <c r="AD28">
        <f t="shared" si="10"/>
        <v>3</v>
      </c>
      <c r="AE28">
        <v>4</v>
      </c>
      <c r="AF28">
        <f t="shared" si="11"/>
        <v>4</v>
      </c>
      <c r="AG28">
        <v>0</v>
      </c>
      <c r="AH28">
        <f t="shared" si="12"/>
        <v>0</v>
      </c>
      <c r="AI28" t="str">
        <f t="shared" si="13"/>
        <v>Complete</v>
      </c>
    </row>
    <row r="29" spans="1:35">
      <c r="A29">
        <v>3804</v>
      </c>
      <c r="B29" s="6">
        <v>45644.898460648146</v>
      </c>
      <c r="C29" s="3">
        <f t="shared" si="0"/>
        <v>45644</v>
      </c>
      <c r="D29" s="2">
        <f t="shared" si="1"/>
        <v>0.89846064814628335</v>
      </c>
      <c r="E29">
        <v>75</v>
      </c>
      <c r="F29" t="s">
        <v>33</v>
      </c>
      <c r="G29" t="str">
        <f t="shared" si="2"/>
        <v>South</v>
      </c>
      <c r="H29" t="s">
        <v>11</v>
      </c>
      <c r="I29" t="str">
        <f t="shared" si="3"/>
        <v>Online</v>
      </c>
      <c r="J29">
        <v>13901</v>
      </c>
      <c r="K29" t="s">
        <v>10</v>
      </c>
      <c r="L29" t="str">
        <f t="shared" si="4"/>
        <v>Consumer</v>
      </c>
      <c r="M29" t="s">
        <v>9</v>
      </c>
      <c r="N29" t="str">
        <f t="shared" si="5"/>
        <v>Home</v>
      </c>
      <c r="O29" t="s">
        <v>35</v>
      </c>
      <c r="P29" t="str">
        <f>IF(LEN(TRIM(Table1[[#This Row],[subcategory]]&amp;""))=0,"Unknown", PROPER(TRIM(Table1[[#This Row],[subcategory]])))</f>
        <v>Bedding</v>
      </c>
      <c r="Q29">
        <v>120.29</v>
      </c>
      <c r="R29" s="1">
        <f t="shared" si="6"/>
        <v>120.29</v>
      </c>
      <c r="S29">
        <v>1</v>
      </c>
      <c r="T29">
        <f t="shared" si="7"/>
        <v>1</v>
      </c>
      <c r="U29">
        <v>120.29</v>
      </c>
      <c r="V29" s="1">
        <f t="shared" si="8"/>
        <v>120.29</v>
      </c>
      <c r="W29" s="4" t="s">
        <v>158</v>
      </c>
      <c r="X29" s="4">
        <f t="shared" si="9"/>
        <v>76.865309999999994</v>
      </c>
      <c r="Y29" s="5" t="s">
        <v>157</v>
      </c>
      <c r="Z29" s="4" cm="1">
        <f t="array" ref="Z29">IF(
    LEN(TRIM(Y29&amp;""))=0,
        IF(AND(ISNUMBER(net_sales_clean), ISNUMBER(profit_clean)),
            net_sales_clean - profit_clean,
            ""
        ),
    VALUE(SUBSTITUTE(Y29,"$",""))
)</f>
        <v>45.142828699893897</v>
      </c>
      <c r="AA29" s="5" t="s">
        <v>156</v>
      </c>
      <c r="AB29" s="4" cm="1">
        <f t="array" ref="AB29">IF(
    LEN(TRIM(AA29&amp;""))=0,
        IF(AND(ISNUMBER(net_sales_clean), ISNUMBER(cost_clean)),
            net_sales_clean - cost_clean,
            ""
        ),
    VALUE(SUBSTITUTE(AA29,"$",""))
)</f>
        <v>31.722481300106001</v>
      </c>
      <c r="AC29">
        <v>7</v>
      </c>
      <c r="AD29">
        <f t="shared" si="10"/>
        <v>7</v>
      </c>
      <c r="AE29">
        <v>3</v>
      </c>
      <c r="AF29">
        <f t="shared" si="11"/>
        <v>3</v>
      </c>
      <c r="AG29">
        <v>0</v>
      </c>
      <c r="AH29">
        <f t="shared" si="12"/>
        <v>0</v>
      </c>
      <c r="AI29" t="str">
        <f t="shared" si="13"/>
        <v>Complete</v>
      </c>
    </row>
    <row r="30" spans="1:35">
      <c r="A30">
        <v>53326</v>
      </c>
      <c r="B30" s="6">
        <v>45250.795300925929</v>
      </c>
      <c r="C30" s="3">
        <f t="shared" si="0"/>
        <v>45250</v>
      </c>
      <c r="D30" s="2">
        <f t="shared" si="1"/>
        <v>0.79530092592904111</v>
      </c>
      <c r="E30">
        <v>16</v>
      </c>
      <c r="F30" t="s">
        <v>13</v>
      </c>
      <c r="G30" t="str">
        <f t="shared" si="2"/>
        <v>Northeast</v>
      </c>
      <c r="H30" t="s">
        <v>11</v>
      </c>
      <c r="I30" t="str">
        <f t="shared" si="3"/>
        <v>Online</v>
      </c>
      <c r="J30">
        <v>21497</v>
      </c>
      <c r="K30" t="s">
        <v>14</v>
      </c>
      <c r="L30" t="str">
        <f t="shared" si="4"/>
        <v>Consumer</v>
      </c>
      <c r="M30" t="s">
        <v>19</v>
      </c>
      <c r="N30" t="str">
        <f t="shared" si="5"/>
        <v>Apparel</v>
      </c>
      <c r="O30" t="s">
        <v>18</v>
      </c>
      <c r="P30" t="str">
        <f>IF(LEN(TRIM(Table1[[#This Row],[subcategory]]&amp;""))=0,"Unknown", PROPER(TRIM(Table1[[#This Row],[subcategory]])))</f>
        <v>Men</v>
      </c>
      <c r="Q30">
        <v>78.41</v>
      </c>
      <c r="R30" s="1">
        <f t="shared" si="6"/>
        <v>78.41</v>
      </c>
      <c r="S30">
        <v>4</v>
      </c>
      <c r="T30">
        <f t="shared" si="7"/>
        <v>4</v>
      </c>
      <c r="U30">
        <v>313.64</v>
      </c>
      <c r="V30" s="1">
        <f t="shared" si="8"/>
        <v>313.64</v>
      </c>
      <c r="W30" s="4" t="s">
        <v>155</v>
      </c>
      <c r="X30" s="4">
        <f t="shared" si="9"/>
        <v>223.93895999999901</v>
      </c>
      <c r="Y30" s="5" t="s">
        <v>154</v>
      </c>
      <c r="Z30" s="4" cm="1">
        <f t="array" ref="Z30">IF(
    LEN(TRIM(Y30&amp;""))=0,
        IF(AND(ISNUMBER(net_sales_clean), ISNUMBER(profit_clean)),
            net_sales_clean - profit_clean,
            ""
        ),
    VALUE(SUBSTITUTE(Y30,"$",""))
)</f>
        <v>127.42641192279901</v>
      </c>
      <c r="AA30" s="5" t="s">
        <v>153</v>
      </c>
      <c r="AB30" s="4" cm="1">
        <f t="array" ref="AB30">IF(
    LEN(TRIM(AA30&amp;""))=0,
        IF(AND(ISNUMBER(net_sales_clean), ISNUMBER(cost_clean)),
            net_sales_clean - cost_clean,
            ""
        ),
    VALUE(SUBSTITUTE(AA30,"$",""))
)</f>
        <v>96.512548077200805</v>
      </c>
      <c r="AC30">
        <v>7</v>
      </c>
      <c r="AD30">
        <f t="shared" si="10"/>
        <v>7</v>
      </c>
      <c r="AE30">
        <v>3</v>
      </c>
      <c r="AF30">
        <f t="shared" si="11"/>
        <v>3</v>
      </c>
      <c r="AG30">
        <v>0</v>
      </c>
      <c r="AH30">
        <f t="shared" si="12"/>
        <v>0</v>
      </c>
      <c r="AI30" t="str">
        <f t="shared" si="13"/>
        <v>Complete</v>
      </c>
    </row>
    <row r="31" spans="1:35">
      <c r="A31">
        <v>14301</v>
      </c>
      <c r="B31" s="6">
        <v>45915.971828703703</v>
      </c>
      <c r="C31" s="3">
        <f t="shared" si="0"/>
        <v>45915</v>
      </c>
      <c r="D31" s="2">
        <f t="shared" si="1"/>
        <v>0.97182870370306773</v>
      </c>
      <c r="E31">
        <v>2</v>
      </c>
      <c r="F31" t="s">
        <v>13</v>
      </c>
      <c r="G31" t="str">
        <f t="shared" si="2"/>
        <v>Northeast</v>
      </c>
      <c r="H31" t="s">
        <v>17</v>
      </c>
      <c r="I31" t="str">
        <f t="shared" si="3"/>
        <v>Online</v>
      </c>
      <c r="J31">
        <v>25676</v>
      </c>
      <c r="K31" t="s">
        <v>2</v>
      </c>
      <c r="L31" t="str">
        <f t="shared" si="4"/>
        <v>Home Office</v>
      </c>
      <c r="M31" t="s">
        <v>19</v>
      </c>
      <c r="N31" t="str">
        <f t="shared" si="5"/>
        <v>Apparel</v>
      </c>
      <c r="O31" t="s">
        <v>40</v>
      </c>
      <c r="P31" t="str">
        <f>IF(LEN(TRIM(Table1[[#This Row],[subcategory]]&amp;""))=0,"Unknown", PROPER(TRIM(Table1[[#This Row],[subcategory]])))</f>
        <v>Shoes</v>
      </c>
      <c r="Q31">
        <v>19.079999999999998</v>
      </c>
      <c r="R31" s="1">
        <f t="shared" si="6"/>
        <v>19.079999999999998</v>
      </c>
      <c r="S31">
        <v>1</v>
      </c>
      <c r="T31">
        <f t="shared" si="7"/>
        <v>1</v>
      </c>
      <c r="U31">
        <v>19.079999999999998</v>
      </c>
      <c r="V31" s="1">
        <f t="shared" si="8"/>
        <v>19.079999999999998</v>
      </c>
      <c r="W31" s="1">
        <v>11.676959999999999</v>
      </c>
      <c r="X31" s="1">
        <f t="shared" si="9"/>
        <v>11.676959999999999</v>
      </c>
      <c r="Y31">
        <v>9.6432456364725603</v>
      </c>
      <c r="Z31" s="1" cm="1">
        <f t="array" ref="Z31">IF(
    LEN(TRIM(Y31&amp;""))=0,
        IF(AND(ISNUMBER(net_sales_clean), ISNUMBER(profit_clean)),
            net_sales_clean - profit_clean,
            ""
        ),
    VALUE(SUBSTITUTE(Y31,"$",""))
)</f>
        <v>9.6432456364725603</v>
      </c>
      <c r="AA31" s="5" t="s">
        <v>152</v>
      </c>
      <c r="AB31" s="4" cm="1">
        <f t="array" ref="AB31">IF(
    LEN(TRIM(AA31&amp;""))=0,
        IF(AND(ISNUMBER(net_sales_clean), ISNUMBER(cost_clean)),
            net_sales_clean - cost_clean,
            ""
        ),
    VALUE(SUBSTITUTE(AA31,"$",""))
)</f>
        <v>2.0337143635274302</v>
      </c>
      <c r="AC31">
        <v>9</v>
      </c>
      <c r="AD31">
        <f t="shared" si="10"/>
        <v>9</v>
      </c>
      <c r="AE31">
        <v>5</v>
      </c>
      <c r="AF31">
        <f t="shared" si="11"/>
        <v>5</v>
      </c>
      <c r="AG31">
        <v>0</v>
      </c>
      <c r="AH31">
        <f t="shared" si="12"/>
        <v>0</v>
      </c>
      <c r="AI31" t="str">
        <f t="shared" si="13"/>
        <v>Complete</v>
      </c>
    </row>
    <row r="32" spans="1:35">
      <c r="A32">
        <v>51302</v>
      </c>
      <c r="B32" s="6">
        <v>45951.146886574075</v>
      </c>
      <c r="C32" s="3">
        <f t="shared" si="0"/>
        <v>45951</v>
      </c>
      <c r="D32" s="2">
        <f t="shared" si="1"/>
        <v>0.14688657407532446</v>
      </c>
      <c r="E32">
        <v>72</v>
      </c>
      <c r="F32" t="s">
        <v>8</v>
      </c>
      <c r="G32" t="str">
        <f t="shared" si="2"/>
        <v>West</v>
      </c>
      <c r="H32" t="s">
        <v>11</v>
      </c>
      <c r="I32" t="str">
        <f t="shared" si="3"/>
        <v>Online</v>
      </c>
      <c r="J32">
        <v>23183</v>
      </c>
      <c r="K32" t="s">
        <v>14</v>
      </c>
      <c r="L32" t="str">
        <f t="shared" si="4"/>
        <v>Consumer</v>
      </c>
      <c r="M32" t="s">
        <v>19</v>
      </c>
      <c r="N32" t="str">
        <f t="shared" si="5"/>
        <v>Apparel</v>
      </c>
      <c r="O32" t="s">
        <v>18</v>
      </c>
      <c r="P32" t="str">
        <f>IF(LEN(TRIM(Table1[[#This Row],[subcategory]]&amp;""))=0,"Unknown", PROPER(TRIM(Table1[[#This Row],[subcategory]])))</f>
        <v>Men</v>
      </c>
      <c r="Q32">
        <v>26.95</v>
      </c>
      <c r="R32" s="1">
        <f t="shared" si="6"/>
        <v>26.95</v>
      </c>
      <c r="S32">
        <v>2</v>
      </c>
      <c r="T32">
        <f t="shared" si="7"/>
        <v>2</v>
      </c>
      <c r="U32">
        <v>53.9</v>
      </c>
      <c r="V32" s="1">
        <f t="shared" si="8"/>
        <v>53.9</v>
      </c>
      <c r="W32" s="4" t="s">
        <v>151</v>
      </c>
      <c r="X32" s="4">
        <f t="shared" si="9"/>
        <v>37.514399999999902</v>
      </c>
      <c r="Y32">
        <v>29.458168087770002</v>
      </c>
      <c r="Z32" s="1" cm="1">
        <f t="array" ref="Z32">IF(
    LEN(TRIM(Y32&amp;""))=0,
        IF(AND(ISNUMBER(net_sales_clean), ISNUMBER(profit_clean)),
            net_sales_clean - profit_clean,
            ""
        ),
    VALUE(SUBSTITUTE(Y32,"$",""))
)</f>
        <v>29.458168087770002</v>
      </c>
      <c r="AA32" s="5" t="s">
        <v>150</v>
      </c>
      <c r="AB32" s="4" cm="1">
        <f t="array" ref="AB32">IF(
    LEN(TRIM(AA32&amp;""))=0,
        IF(AND(ISNUMBER(net_sales_clean), ISNUMBER(cost_clean)),
            net_sales_clean - cost_clean,
            ""
        ),
    VALUE(SUBSTITUTE(AA32,"$",""))
)</f>
        <v>8.0562319122299897</v>
      </c>
      <c r="AC32">
        <v>1</v>
      </c>
      <c r="AD32">
        <f t="shared" si="10"/>
        <v>1</v>
      </c>
      <c r="AF32" t="str">
        <f t="shared" si="11"/>
        <v/>
      </c>
      <c r="AG32">
        <v>0</v>
      </c>
      <c r="AH32">
        <f t="shared" si="12"/>
        <v>0</v>
      </c>
      <c r="AI32" t="str">
        <f t="shared" si="13"/>
        <v>Complete</v>
      </c>
    </row>
    <row r="33" spans="1:35">
      <c r="A33">
        <v>9009</v>
      </c>
      <c r="B33" s="6">
        <v>45852.649282407408</v>
      </c>
      <c r="C33" s="3">
        <f t="shared" si="0"/>
        <v>45852</v>
      </c>
      <c r="D33" s="2">
        <f t="shared" si="1"/>
        <v>0.64928240740846377</v>
      </c>
      <c r="E33">
        <v>53</v>
      </c>
      <c r="F33" t="s">
        <v>13</v>
      </c>
      <c r="G33" t="str">
        <f t="shared" si="2"/>
        <v>Northeast</v>
      </c>
      <c r="H33" t="s">
        <v>11</v>
      </c>
      <c r="I33" t="str">
        <f t="shared" si="3"/>
        <v>Online</v>
      </c>
      <c r="J33">
        <v>16892</v>
      </c>
      <c r="K33" t="s">
        <v>2</v>
      </c>
      <c r="L33" t="str">
        <f t="shared" si="4"/>
        <v>Home Office</v>
      </c>
      <c r="M33" t="s">
        <v>1</v>
      </c>
      <c r="N33" t="str">
        <f t="shared" si="5"/>
        <v>Beauty</v>
      </c>
      <c r="O33" t="s">
        <v>38</v>
      </c>
      <c r="P33" t="str">
        <f>IF(LEN(TRIM(Table1[[#This Row],[subcategory]]&amp;""))=0,"Unknown", PROPER(TRIM(Table1[[#This Row],[subcategory]])))</f>
        <v>Fragrance</v>
      </c>
      <c r="Q33">
        <v>37.31</v>
      </c>
      <c r="R33" s="1">
        <f t="shared" si="6"/>
        <v>37.31</v>
      </c>
      <c r="S33">
        <v>2</v>
      </c>
      <c r="T33">
        <f t="shared" si="7"/>
        <v>2</v>
      </c>
      <c r="U33">
        <v>74.62</v>
      </c>
      <c r="V33" s="1">
        <f t="shared" si="8"/>
        <v>74.62</v>
      </c>
      <c r="W33" s="1">
        <v>55.591900000000003</v>
      </c>
      <c r="X33" s="1">
        <f t="shared" si="9"/>
        <v>55.591900000000003</v>
      </c>
      <c r="Y33" s="5" t="s">
        <v>149</v>
      </c>
      <c r="Z33" s="4" cm="1">
        <f t="array" ref="Z33">IF(
    LEN(TRIM(Y33&amp;""))=0,
        IF(AND(ISNUMBER(net_sales_clean), ISNUMBER(profit_clean)),
            net_sales_clean - profit_clean,
            ""
        ),
    VALUE(SUBSTITUTE(Y33,"$",""))
)</f>
        <v>36.915124814679203</v>
      </c>
      <c r="AA33" s="5" t="s">
        <v>148</v>
      </c>
      <c r="AB33" s="4" cm="1">
        <f t="array" ref="AB33">IF(
    LEN(TRIM(AA33&amp;""))=0,
        IF(AND(ISNUMBER(net_sales_clean), ISNUMBER(cost_clean)),
            net_sales_clean - cost_clean,
            ""
        ),
    VALUE(SUBSTITUTE(AA33,"$",""))
)</f>
        <v>18.6767751853207</v>
      </c>
      <c r="AC33">
        <v>8</v>
      </c>
      <c r="AD33">
        <f t="shared" si="10"/>
        <v>8</v>
      </c>
      <c r="AE33">
        <v>4</v>
      </c>
      <c r="AF33">
        <f t="shared" si="11"/>
        <v>4</v>
      </c>
      <c r="AG33">
        <v>1</v>
      </c>
      <c r="AH33">
        <f t="shared" si="12"/>
        <v>1</v>
      </c>
      <c r="AI33" t="str">
        <f t="shared" si="13"/>
        <v>Complete</v>
      </c>
    </row>
    <row r="34" spans="1:35">
      <c r="A34">
        <v>47522</v>
      </c>
      <c r="B34" s="6">
        <v>45281.740752314814</v>
      </c>
      <c r="C34" s="3">
        <f t="shared" si="0"/>
        <v>45281</v>
      </c>
      <c r="D34" s="2">
        <f t="shared" si="1"/>
        <v>0.74075231481401715</v>
      </c>
      <c r="E34">
        <v>16</v>
      </c>
      <c r="F34" t="s">
        <v>4</v>
      </c>
      <c r="G34" t="str">
        <f t="shared" si="2"/>
        <v>South</v>
      </c>
      <c r="H34" t="s">
        <v>11</v>
      </c>
      <c r="I34" t="str">
        <f t="shared" si="3"/>
        <v>Online</v>
      </c>
      <c r="J34">
        <v>7382</v>
      </c>
      <c r="K34" t="s">
        <v>6</v>
      </c>
      <c r="L34" t="str">
        <f t="shared" si="4"/>
        <v>Corporate</v>
      </c>
      <c r="M34" t="s">
        <v>1</v>
      </c>
      <c r="N34" t="str">
        <f t="shared" si="5"/>
        <v>Beauty</v>
      </c>
      <c r="O34" t="s">
        <v>5</v>
      </c>
      <c r="P34" t="str">
        <f>IF(LEN(TRIM(Table1[[#This Row],[subcategory]]&amp;""))=0,"Unknown", PROPER(TRIM(Table1[[#This Row],[subcategory]])))</f>
        <v>Haircare</v>
      </c>
      <c r="Q34">
        <v>68.36</v>
      </c>
      <c r="R34" s="1">
        <f t="shared" si="6"/>
        <v>68.36</v>
      </c>
      <c r="S34">
        <v>1</v>
      </c>
      <c r="T34">
        <f t="shared" si="7"/>
        <v>1</v>
      </c>
      <c r="U34">
        <v>68.36</v>
      </c>
      <c r="V34" s="1">
        <f t="shared" si="8"/>
        <v>68.36</v>
      </c>
      <c r="W34" s="1">
        <v>58.447800000000001</v>
      </c>
      <c r="X34" s="1">
        <f t="shared" si="9"/>
        <v>58.447800000000001</v>
      </c>
      <c r="Y34" s="5" t="s">
        <v>147</v>
      </c>
      <c r="Z34" s="4" cm="1">
        <f t="array" ref="Z34">IF(
    LEN(TRIM(Y34&amp;""))=0,
        IF(AND(ISNUMBER(net_sales_clean), ISNUMBER(profit_clean)),
            net_sales_clean - profit_clean,
            ""
        ),
    VALUE(SUBSTITUTE(Y34,"$",""))
)</f>
        <v>42.667253592489999</v>
      </c>
      <c r="AA34" s="5" t="s">
        <v>146</v>
      </c>
      <c r="AB34" s="4" cm="1">
        <f t="array" ref="AB34">IF(
    LEN(TRIM(AA34&amp;""))=0,
        IF(AND(ISNUMBER(net_sales_clean), ISNUMBER(cost_clean)),
            net_sales_clean - cost_clean,
            ""
        ),
    VALUE(SUBSTITUTE(AA34,"$",""))
)</f>
        <v>15.780546407509901</v>
      </c>
      <c r="AC34">
        <v>3</v>
      </c>
      <c r="AD34">
        <f t="shared" si="10"/>
        <v>3</v>
      </c>
      <c r="AE34">
        <v>2</v>
      </c>
      <c r="AF34">
        <f t="shared" si="11"/>
        <v>2</v>
      </c>
      <c r="AG34">
        <v>0</v>
      </c>
      <c r="AH34">
        <f t="shared" si="12"/>
        <v>0</v>
      </c>
      <c r="AI34" t="str">
        <f t="shared" si="13"/>
        <v>Complete</v>
      </c>
    </row>
    <row r="35" spans="1:35">
      <c r="A35">
        <v>25225</v>
      </c>
      <c r="B35" s="6">
        <v>45459.491875</v>
      </c>
      <c r="C35" s="3">
        <f t="shared" si="0"/>
        <v>45459</v>
      </c>
      <c r="D35" s="2">
        <f t="shared" si="1"/>
        <v>0.49187499999970896</v>
      </c>
      <c r="E35">
        <v>3</v>
      </c>
      <c r="F35" t="s">
        <v>13</v>
      </c>
      <c r="G35" t="str">
        <f t="shared" si="2"/>
        <v>Northeast</v>
      </c>
      <c r="H35" t="s">
        <v>17</v>
      </c>
      <c r="I35" t="str">
        <f t="shared" si="3"/>
        <v>Online</v>
      </c>
      <c r="J35">
        <v>4514</v>
      </c>
      <c r="K35" t="s">
        <v>2</v>
      </c>
      <c r="L35" t="str">
        <f t="shared" si="4"/>
        <v>Home Office</v>
      </c>
      <c r="M35" t="s">
        <v>19</v>
      </c>
      <c r="N35" t="str">
        <f t="shared" si="5"/>
        <v>Apparel</v>
      </c>
      <c r="O35" t="s">
        <v>40</v>
      </c>
      <c r="P35" t="str">
        <f>IF(LEN(TRIM(Table1[[#This Row],[subcategory]]&amp;""))=0,"Unknown", PROPER(TRIM(Table1[[#This Row],[subcategory]])))</f>
        <v>Shoes</v>
      </c>
      <c r="Q35">
        <v>82.03</v>
      </c>
      <c r="R35" s="1">
        <f t="shared" si="6"/>
        <v>82.03</v>
      </c>
      <c r="S35">
        <v>1</v>
      </c>
      <c r="T35">
        <f t="shared" si="7"/>
        <v>1</v>
      </c>
      <c r="U35">
        <v>82.03</v>
      </c>
      <c r="V35" s="1">
        <f t="shared" si="8"/>
        <v>82.03</v>
      </c>
      <c r="W35" s="4" t="s">
        <v>145</v>
      </c>
      <c r="X35" s="4">
        <f t="shared" si="9"/>
        <v>68.495049999999907</v>
      </c>
      <c r="Y35" s="5" t="s">
        <v>144</v>
      </c>
      <c r="Z35" s="4" cm="1">
        <f t="array" ref="Z35">IF(
    LEN(TRIM(Y35&amp;""))=0,
        IF(AND(ISNUMBER(net_sales_clean), ISNUMBER(profit_clean)),
            net_sales_clean - profit_clean,
            ""
        ),
    VALUE(SUBSTITUTE(Y35,"$",""))
)</f>
        <v>53.3595067189651</v>
      </c>
      <c r="AA35" s="5" t="s">
        <v>143</v>
      </c>
      <c r="AB35" s="4" cm="1">
        <f t="array" ref="AB35">IF(
    LEN(TRIM(AA35&amp;""))=0,
        IF(AND(ISNUMBER(net_sales_clean), ISNUMBER(cost_clean)),
            net_sales_clean - cost_clean,
            ""
        ),
    VALUE(SUBSTITUTE(AA35,"$",""))
)</f>
        <v>15.135543281034799</v>
      </c>
      <c r="AC35">
        <v>6</v>
      </c>
      <c r="AD35">
        <f t="shared" si="10"/>
        <v>6</v>
      </c>
      <c r="AE35">
        <v>1</v>
      </c>
      <c r="AF35">
        <f t="shared" si="11"/>
        <v>1</v>
      </c>
      <c r="AG35">
        <v>0</v>
      </c>
      <c r="AH35">
        <f t="shared" si="12"/>
        <v>0</v>
      </c>
      <c r="AI35" t="str">
        <f t="shared" si="13"/>
        <v>Complete</v>
      </c>
    </row>
    <row r="36" spans="1:35">
      <c r="A36">
        <v>48922</v>
      </c>
      <c r="B36" s="6">
        <v>45569.453252314815</v>
      </c>
      <c r="C36" s="3">
        <f t="shared" si="0"/>
        <v>45569</v>
      </c>
      <c r="D36" s="2">
        <f t="shared" si="1"/>
        <v>0.45325231481547235</v>
      </c>
      <c r="E36">
        <v>4</v>
      </c>
      <c r="F36" t="s">
        <v>8</v>
      </c>
      <c r="G36" t="str">
        <f t="shared" si="2"/>
        <v>West</v>
      </c>
      <c r="H36" t="s">
        <v>7</v>
      </c>
      <c r="I36" t="str">
        <f t="shared" si="3"/>
        <v>In Store</v>
      </c>
      <c r="J36">
        <v>10390</v>
      </c>
      <c r="K36" t="s">
        <v>14</v>
      </c>
      <c r="L36" t="str">
        <f t="shared" si="4"/>
        <v>Consumer</v>
      </c>
      <c r="M36" t="s">
        <v>9</v>
      </c>
      <c r="N36" t="str">
        <f t="shared" si="5"/>
        <v>Home</v>
      </c>
      <c r="O36" t="s">
        <v>37</v>
      </c>
      <c r="P36" t="str">
        <f>IF(LEN(TRIM(Table1[[#This Row],[subcategory]]&amp;""))=0,"Unknown", PROPER(TRIM(Table1[[#This Row],[subcategory]])))</f>
        <v>Kitchen</v>
      </c>
      <c r="Q36">
        <v>24.05</v>
      </c>
      <c r="R36" s="1">
        <f t="shared" si="6"/>
        <v>24.05</v>
      </c>
      <c r="S36">
        <v>4</v>
      </c>
      <c r="T36">
        <f t="shared" si="7"/>
        <v>4</v>
      </c>
      <c r="U36">
        <v>96.2</v>
      </c>
      <c r="V36" s="1">
        <f t="shared" si="8"/>
        <v>96.2</v>
      </c>
      <c r="W36" s="4" t="s">
        <v>142</v>
      </c>
      <c r="X36" s="4">
        <f t="shared" si="9"/>
        <v>80.134599999999907</v>
      </c>
      <c r="Z36" s="1" t="str" cm="1">
        <f t="array" ref="Z36">IF(
    LEN(TRIM(Y36&amp;""))=0,
        IF(AND(ISNUMBER(net_sales_clean), ISNUMBER(profit_clean)),
            net_sales_clean - profit_clean,
            ""
        ),
    VALUE(SUBSTITUTE(Y36,"$",""))
)</f>
        <v/>
      </c>
      <c r="AB36" s="1" t="str" cm="1">
        <f t="array" ref="AB36">IF(
    LEN(TRIM(AA36&amp;""))=0,
        IF(AND(ISNUMBER(net_sales_clean), ISNUMBER(cost_clean)),
            net_sales_clean - cost_clean,
            ""
        ),
    VALUE(SUBSTITUTE(AA36,"$",""))
)</f>
        <v/>
      </c>
      <c r="AC36">
        <v>8</v>
      </c>
      <c r="AD36">
        <f t="shared" si="10"/>
        <v>8</v>
      </c>
      <c r="AE36">
        <v>5</v>
      </c>
      <c r="AF36">
        <f t="shared" si="11"/>
        <v>5</v>
      </c>
      <c r="AG36">
        <v>0</v>
      </c>
      <c r="AH36">
        <f t="shared" si="12"/>
        <v>0</v>
      </c>
      <c r="AI36" t="str">
        <f t="shared" si="13"/>
        <v>Incomplete</v>
      </c>
    </row>
    <row r="37" spans="1:35">
      <c r="A37">
        <v>37979</v>
      </c>
      <c r="B37" s="6">
        <v>45978.121342592596</v>
      </c>
      <c r="C37" s="3">
        <f t="shared" si="0"/>
        <v>45978</v>
      </c>
      <c r="D37" s="2">
        <f t="shared" si="1"/>
        <v>0.12134259259619284</v>
      </c>
      <c r="E37">
        <v>81</v>
      </c>
      <c r="F37" t="s">
        <v>21</v>
      </c>
      <c r="G37" t="str">
        <f t="shared" si="2"/>
        <v>Midwest</v>
      </c>
      <c r="H37" t="s">
        <v>30</v>
      </c>
      <c r="I37" t="str">
        <f t="shared" si="3"/>
        <v>Mobile App</v>
      </c>
      <c r="J37">
        <v>9121</v>
      </c>
      <c r="K37" t="s">
        <v>14</v>
      </c>
      <c r="L37" t="str">
        <f t="shared" si="4"/>
        <v>Consumer</v>
      </c>
      <c r="M37" t="s">
        <v>23</v>
      </c>
      <c r="N37" t="str">
        <f t="shared" si="5"/>
        <v>Electronics</v>
      </c>
      <c r="O37" t="s">
        <v>39</v>
      </c>
      <c r="P37" t="str">
        <f>IF(LEN(TRIM(Table1[[#This Row],[subcategory]]&amp;""))=0,"Unknown", PROPER(TRIM(Table1[[#This Row],[subcategory]])))</f>
        <v>Accessories</v>
      </c>
      <c r="Q37">
        <v>118.59</v>
      </c>
      <c r="R37" s="1">
        <f t="shared" si="6"/>
        <v>118.59</v>
      </c>
      <c r="S37">
        <v>1</v>
      </c>
      <c r="T37">
        <f t="shared" si="7"/>
        <v>1</v>
      </c>
      <c r="U37">
        <v>118.59</v>
      </c>
      <c r="V37" s="1">
        <f t="shared" si="8"/>
        <v>118.59</v>
      </c>
      <c r="W37" s="1">
        <v>100.92009</v>
      </c>
      <c r="X37" s="1">
        <f t="shared" si="9"/>
        <v>100.92009</v>
      </c>
      <c r="Y37" s="5" t="s">
        <v>141</v>
      </c>
      <c r="Z37" s="4" cm="1">
        <f t="array" ref="Z37">IF(
    LEN(TRIM(Y37&amp;""))=0,
        IF(AND(ISNUMBER(net_sales_clean), ISNUMBER(profit_clean)),
            net_sales_clean - profit_clean,
            ""
        ),
    VALUE(SUBSTITUTE(Y37,"$",""))
)</f>
        <v>76.938138700045201</v>
      </c>
      <c r="AA37" s="5" t="s">
        <v>140</v>
      </c>
      <c r="AB37" s="4" cm="1">
        <f t="array" ref="AB37">IF(
    LEN(TRIM(AA37&amp;""))=0,
        IF(AND(ISNUMBER(net_sales_clean), ISNUMBER(cost_clean)),
            net_sales_clean - cost_clean,
            ""
        ),
    VALUE(SUBSTITUTE(AA37,"$",""))
)</f>
        <v>23.981951299954702</v>
      </c>
      <c r="AC37">
        <v>3</v>
      </c>
      <c r="AD37">
        <f t="shared" si="10"/>
        <v>3</v>
      </c>
      <c r="AE37">
        <v>5</v>
      </c>
      <c r="AF37">
        <f t="shared" si="11"/>
        <v>5</v>
      </c>
      <c r="AG37">
        <v>0</v>
      </c>
      <c r="AH37">
        <f t="shared" si="12"/>
        <v>0</v>
      </c>
      <c r="AI37" t="str">
        <f t="shared" si="13"/>
        <v>Complete</v>
      </c>
    </row>
    <row r="38" spans="1:35">
      <c r="A38">
        <v>44172</v>
      </c>
      <c r="B38" s="6">
        <v>44991.922534722224</v>
      </c>
      <c r="C38" s="3">
        <f t="shared" si="0"/>
        <v>44991</v>
      </c>
      <c r="D38" s="2">
        <f t="shared" si="1"/>
        <v>0.92253472222364508</v>
      </c>
      <c r="E38">
        <v>29</v>
      </c>
      <c r="F38" t="s">
        <v>4</v>
      </c>
      <c r="G38" t="str">
        <f t="shared" si="2"/>
        <v>South</v>
      </c>
      <c r="H38" t="s">
        <v>30</v>
      </c>
      <c r="I38" t="str">
        <f t="shared" si="3"/>
        <v>Mobile App</v>
      </c>
      <c r="J38">
        <v>21221</v>
      </c>
      <c r="K38" t="s">
        <v>6</v>
      </c>
      <c r="L38" t="str">
        <f t="shared" si="4"/>
        <v>Corporate</v>
      </c>
      <c r="M38" t="s">
        <v>23</v>
      </c>
      <c r="N38" t="str">
        <f t="shared" si="5"/>
        <v>Electronics</v>
      </c>
      <c r="O38" t="s">
        <v>34</v>
      </c>
      <c r="P38" t="str">
        <f>IF(LEN(TRIM(Table1[[#This Row],[subcategory]]&amp;""))=0,"Unknown", PROPER(TRIM(Table1[[#This Row],[subcategory]])))</f>
        <v>Phones</v>
      </c>
      <c r="Q38">
        <v>64.64</v>
      </c>
      <c r="R38" s="1">
        <f t="shared" si="6"/>
        <v>64.64</v>
      </c>
      <c r="S38">
        <v>2</v>
      </c>
      <c r="T38">
        <f t="shared" si="7"/>
        <v>2</v>
      </c>
      <c r="U38">
        <v>129.28</v>
      </c>
      <c r="V38" s="1">
        <f t="shared" si="8"/>
        <v>129.28</v>
      </c>
      <c r="W38" s="1">
        <v>110.66368</v>
      </c>
      <c r="X38" s="1">
        <f t="shared" si="9"/>
        <v>110.66368</v>
      </c>
      <c r="Z38" s="1" t="str" cm="1">
        <f t="array" ref="Z38">IF(
    LEN(TRIM(Y38&amp;""))=0,
        IF(AND(ISNUMBER(net_sales_clean), ISNUMBER(profit_clean)),
            net_sales_clean - profit_clean,
            ""
        ),
    VALUE(SUBSTITUTE(Y38,"$",""))
)</f>
        <v/>
      </c>
      <c r="AB38" s="1" t="str" cm="1">
        <f t="array" ref="AB38">IF(
    LEN(TRIM(AA38&amp;""))=0,
        IF(AND(ISNUMBER(net_sales_clean), ISNUMBER(cost_clean)),
            net_sales_clean - cost_clean,
            ""
        ),
    VALUE(SUBSTITUTE(AA38,"$",""))
)</f>
        <v/>
      </c>
      <c r="AC38">
        <v>4</v>
      </c>
      <c r="AD38">
        <f t="shared" si="10"/>
        <v>4</v>
      </c>
      <c r="AE38">
        <v>3</v>
      </c>
      <c r="AF38">
        <f t="shared" si="11"/>
        <v>3</v>
      </c>
      <c r="AG38">
        <v>0</v>
      </c>
      <c r="AH38">
        <f t="shared" si="12"/>
        <v>0</v>
      </c>
      <c r="AI38" t="str">
        <f t="shared" si="13"/>
        <v>Incomplete</v>
      </c>
    </row>
    <row r="39" spans="1:35">
      <c r="A39">
        <v>26304</v>
      </c>
      <c r="B39" s="6">
        <v>45362.229953703703</v>
      </c>
      <c r="C39" s="3">
        <f t="shared" si="0"/>
        <v>45362</v>
      </c>
      <c r="D39" s="2">
        <f t="shared" si="1"/>
        <v>0.22995370370335877</v>
      </c>
      <c r="E39">
        <v>62</v>
      </c>
      <c r="F39" t="s">
        <v>33</v>
      </c>
      <c r="G39" t="str">
        <f t="shared" si="2"/>
        <v>South</v>
      </c>
      <c r="H39" t="s">
        <v>7</v>
      </c>
      <c r="I39" t="str">
        <f t="shared" si="3"/>
        <v>In Store</v>
      </c>
      <c r="J39">
        <v>24096</v>
      </c>
      <c r="K39" t="s">
        <v>2</v>
      </c>
      <c r="L39" t="str">
        <f t="shared" si="4"/>
        <v>Home Office</v>
      </c>
      <c r="M39" t="s">
        <v>23</v>
      </c>
      <c r="N39" t="str">
        <f t="shared" si="5"/>
        <v>Electronics</v>
      </c>
      <c r="O39" t="s">
        <v>22</v>
      </c>
      <c r="P39" t="str">
        <f>IF(LEN(TRIM(Table1[[#This Row],[subcategory]]&amp;""))=0,"Unknown", PROPER(TRIM(Table1[[#This Row],[subcategory]])))</f>
        <v>Audio</v>
      </c>
      <c r="Q39">
        <v>68.39</v>
      </c>
      <c r="R39" s="1">
        <f t="shared" si="6"/>
        <v>68.39</v>
      </c>
      <c r="S39">
        <v>1</v>
      </c>
      <c r="T39">
        <f t="shared" si="7"/>
        <v>1</v>
      </c>
      <c r="U39">
        <v>68.39</v>
      </c>
      <c r="V39" s="1">
        <f t="shared" si="8"/>
        <v>68.39</v>
      </c>
      <c r="W39" s="1">
        <v>52.797080000000001</v>
      </c>
      <c r="X39" s="1">
        <f t="shared" si="9"/>
        <v>52.797080000000001</v>
      </c>
      <c r="Y39" s="5" t="s">
        <v>139</v>
      </c>
      <c r="Z39" s="4" cm="1">
        <f t="array" ref="Z39">IF(
    LEN(TRIM(Y39&amp;""))=0,
        IF(AND(ISNUMBER(net_sales_clean), ISNUMBER(profit_clean)),
            net_sales_clean - profit_clean,
            ""
        ),
    VALUE(SUBSTITUTE(Y39,"$",""))
)</f>
        <v>41.133476184281399</v>
      </c>
      <c r="AA39" s="5" t="s">
        <v>138</v>
      </c>
      <c r="AB39" s="4" cm="1">
        <f t="array" ref="AB39">IF(
    LEN(TRIM(AA39&amp;""))=0,
        IF(AND(ISNUMBER(net_sales_clean), ISNUMBER(cost_clean)),
            net_sales_clean - cost_clean,
            ""
        ),
    VALUE(SUBSTITUTE(AA39,"$",""))
)</f>
        <v>11.663603815718499</v>
      </c>
      <c r="AC39">
        <v>1</v>
      </c>
      <c r="AD39">
        <f t="shared" si="10"/>
        <v>1</v>
      </c>
      <c r="AF39" t="str">
        <f t="shared" si="11"/>
        <v/>
      </c>
      <c r="AG39">
        <v>0</v>
      </c>
      <c r="AH39">
        <f t="shared" si="12"/>
        <v>0</v>
      </c>
      <c r="AI39" t="str">
        <f t="shared" si="13"/>
        <v>Complete</v>
      </c>
    </row>
    <row r="40" spans="1:35">
      <c r="A40">
        <v>19459</v>
      </c>
      <c r="B40" s="6">
        <v>45185.438807870371</v>
      </c>
      <c r="C40" s="3">
        <f t="shared" si="0"/>
        <v>45185</v>
      </c>
      <c r="D40" s="2">
        <f t="shared" si="1"/>
        <v>0.4388078703705105</v>
      </c>
      <c r="E40">
        <v>1</v>
      </c>
      <c r="F40" t="s">
        <v>13</v>
      </c>
      <c r="G40" t="str">
        <f t="shared" si="2"/>
        <v>Northeast</v>
      </c>
      <c r="H40" t="s">
        <v>27</v>
      </c>
      <c r="I40" t="str">
        <f t="shared" si="3"/>
        <v>In Store</v>
      </c>
      <c r="J40">
        <v>22068</v>
      </c>
      <c r="K40" t="s">
        <v>6</v>
      </c>
      <c r="L40" t="str">
        <f t="shared" si="4"/>
        <v>Corporate</v>
      </c>
      <c r="M40" t="s">
        <v>19</v>
      </c>
      <c r="N40" t="str">
        <f t="shared" si="5"/>
        <v>Apparel</v>
      </c>
      <c r="O40" t="s">
        <v>20</v>
      </c>
      <c r="P40" t="str">
        <f>IF(LEN(TRIM(Table1[[#This Row],[subcategory]]&amp;""))=0,"Unknown", PROPER(TRIM(Table1[[#This Row],[subcategory]])))</f>
        <v>Women</v>
      </c>
      <c r="Q40">
        <v>21.31</v>
      </c>
      <c r="R40" s="1">
        <f t="shared" si="6"/>
        <v>21.31</v>
      </c>
      <c r="S40">
        <v>0</v>
      </c>
      <c r="T40">
        <f t="shared" si="7"/>
        <v>0</v>
      </c>
      <c r="U40">
        <v>0</v>
      </c>
      <c r="V40" s="1">
        <f t="shared" si="8"/>
        <v>0</v>
      </c>
      <c r="X40" s="1" t="str">
        <f t="shared" si="9"/>
        <v/>
      </c>
      <c r="Z40" s="1" t="str" cm="1">
        <f t="array" ref="Z40">IF(
    LEN(TRIM(Y40&amp;""))=0,
        IF(AND(ISNUMBER(net_sales_clean), ISNUMBER(profit_clean)),
            net_sales_clean - profit_clean,
            ""
        ),
    VALUE(SUBSTITUTE(Y40,"$",""))
)</f>
        <v/>
      </c>
      <c r="AB40" s="1" t="str" cm="1">
        <f t="array" ref="AB40">IF(
    LEN(TRIM(AA40&amp;""))=0,
        IF(AND(ISNUMBER(net_sales_clean), ISNUMBER(cost_clean)),
            net_sales_clean - cost_clean,
            ""
        ),
    VALUE(SUBSTITUTE(AA40,"$",""))
)</f>
        <v/>
      </c>
      <c r="AC40">
        <v>0</v>
      </c>
      <c r="AD40">
        <f t="shared" si="10"/>
        <v>0</v>
      </c>
      <c r="AE40">
        <v>3</v>
      </c>
      <c r="AF40">
        <f t="shared" si="11"/>
        <v>3</v>
      </c>
      <c r="AG40">
        <v>0</v>
      </c>
      <c r="AH40">
        <f t="shared" si="12"/>
        <v>0</v>
      </c>
      <c r="AI40" t="str">
        <f t="shared" si="13"/>
        <v>Incomplete</v>
      </c>
    </row>
    <row r="41" spans="1:35">
      <c r="A41">
        <v>5370</v>
      </c>
      <c r="B41" s="6">
        <v>45512.701365740744</v>
      </c>
      <c r="C41" s="3">
        <f t="shared" si="0"/>
        <v>45512</v>
      </c>
      <c r="D41" s="2">
        <f t="shared" si="1"/>
        <v>0.70136574074422242</v>
      </c>
      <c r="E41">
        <v>19</v>
      </c>
      <c r="F41" t="s">
        <v>21</v>
      </c>
      <c r="G41" t="str">
        <f t="shared" si="2"/>
        <v>Midwest</v>
      </c>
      <c r="H41" t="s">
        <v>17</v>
      </c>
      <c r="I41" t="str">
        <f t="shared" si="3"/>
        <v>Online</v>
      </c>
      <c r="J41">
        <v>12550</v>
      </c>
      <c r="K41" t="s">
        <v>14</v>
      </c>
      <c r="L41" t="str">
        <f t="shared" si="4"/>
        <v>Consumer</v>
      </c>
      <c r="M41" t="s">
        <v>23</v>
      </c>
      <c r="N41" t="str">
        <f t="shared" si="5"/>
        <v>Electronics</v>
      </c>
      <c r="O41" t="s">
        <v>34</v>
      </c>
      <c r="P41" t="str">
        <f>IF(LEN(TRIM(Table1[[#This Row],[subcategory]]&amp;""))=0,"Unknown", PROPER(TRIM(Table1[[#This Row],[subcategory]])))</f>
        <v>Phones</v>
      </c>
      <c r="Q41">
        <v>69.400000000000006</v>
      </c>
      <c r="R41" s="1">
        <f t="shared" si="6"/>
        <v>69.400000000000006</v>
      </c>
      <c r="S41">
        <v>2</v>
      </c>
      <c r="T41">
        <f t="shared" si="7"/>
        <v>2</v>
      </c>
      <c r="U41">
        <v>138.80000000000001</v>
      </c>
      <c r="V41" s="1">
        <f t="shared" si="8"/>
        <v>138.80000000000001</v>
      </c>
      <c r="W41" s="4" t="s">
        <v>137</v>
      </c>
      <c r="X41" s="4">
        <f t="shared" si="9"/>
        <v>128.52879999999999</v>
      </c>
      <c r="Y41" s="5" t="s">
        <v>136</v>
      </c>
      <c r="Z41" s="4" cm="1">
        <f t="array" ref="Z41">IF(
    LEN(TRIM(Y41&amp;""))=0,
        IF(AND(ISNUMBER(net_sales_clean), ISNUMBER(profit_clean)),
            net_sales_clean - profit_clean,
            ""
        ),
    VALUE(SUBSTITUTE(Y41,"$",""))
)</f>
        <v>75.872543933626503</v>
      </c>
      <c r="AA41" s="5" t="s">
        <v>135</v>
      </c>
      <c r="AB41" s="4" cm="1">
        <f t="array" ref="AB41">IF(
    LEN(TRIM(AA41&amp;""))=0,
        IF(AND(ISNUMBER(net_sales_clean), ISNUMBER(cost_clean)),
            net_sales_clean - cost_clean,
            ""
        ),
    VALUE(SUBSTITUTE(AA41,"$",""))
)</f>
        <v>52.656256066373402</v>
      </c>
      <c r="AC41">
        <v>2</v>
      </c>
      <c r="AD41">
        <f t="shared" si="10"/>
        <v>2</v>
      </c>
      <c r="AE41">
        <v>1</v>
      </c>
      <c r="AF41">
        <f t="shared" si="11"/>
        <v>1</v>
      </c>
      <c r="AG41">
        <v>0</v>
      </c>
      <c r="AH41">
        <f t="shared" si="12"/>
        <v>0</v>
      </c>
      <c r="AI41" t="str">
        <f t="shared" si="13"/>
        <v>Complete</v>
      </c>
    </row>
    <row r="42" spans="1:35">
      <c r="A42">
        <v>50292</v>
      </c>
      <c r="B42" s="6">
        <v>45993.959097222221</v>
      </c>
      <c r="C42" s="3">
        <f t="shared" si="0"/>
        <v>45993</v>
      </c>
      <c r="D42" s="2">
        <f t="shared" si="1"/>
        <v>0.95909722222131677</v>
      </c>
      <c r="E42">
        <v>2</v>
      </c>
      <c r="F42" t="s">
        <v>15</v>
      </c>
      <c r="G42" t="str">
        <f t="shared" si="2"/>
        <v>West</v>
      </c>
      <c r="H42" t="s">
        <v>3</v>
      </c>
      <c r="I42" t="str">
        <f t="shared" si="3"/>
        <v>Phone</v>
      </c>
      <c r="J42">
        <v>21821</v>
      </c>
      <c r="K42" t="s">
        <v>10</v>
      </c>
      <c r="L42" t="str">
        <f t="shared" si="4"/>
        <v>Consumer</v>
      </c>
      <c r="M42" t="s">
        <v>1</v>
      </c>
      <c r="N42" t="str">
        <f t="shared" si="5"/>
        <v>Beauty</v>
      </c>
      <c r="P42" t="str">
        <f>IF(LEN(TRIM(Table1[[#This Row],[subcategory]]&amp;""))=0,"Unknown", PROPER(TRIM(Table1[[#This Row],[subcategory]])))</f>
        <v>Unknown</v>
      </c>
      <c r="Q42">
        <v>173.08</v>
      </c>
      <c r="R42" s="1">
        <f t="shared" si="6"/>
        <v>173.08</v>
      </c>
      <c r="S42">
        <v>1</v>
      </c>
      <c r="T42">
        <f t="shared" si="7"/>
        <v>1</v>
      </c>
      <c r="U42">
        <v>173.08</v>
      </c>
      <c r="V42" s="1">
        <f t="shared" si="8"/>
        <v>173.08</v>
      </c>
      <c r="W42" s="1">
        <v>139.67555999999999</v>
      </c>
      <c r="X42" s="1">
        <f t="shared" si="9"/>
        <v>139.67555999999999</v>
      </c>
      <c r="Y42">
        <v>87.658795435548299</v>
      </c>
      <c r="Z42" s="1" cm="1">
        <f t="array" ref="Z42">IF(
    LEN(TRIM(Y42&amp;""))=0,
        IF(AND(ISNUMBER(net_sales_clean), ISNUMBER(profit_clean)),
            net_sales_clean - profit_clean,
            ""
        ),
    VALUE(SUBSTITUTE(Y42,"$",""))
)</f>
        <v>87.658795435548299</v>
      </c>
      <c r="AA42" s="5" t="s">
        <v>134</v>
      </c>
      <c r="AB42" s="4" cm="1">
        <f t="array" ref="AB42">IF(
    LEN(TRIM(AA42&amp;""))=0,
        IF(AND(ISNUMBER(net_sales_clean), ISNUMBER(cost_clean)),
            net_sales_clean - cost_clean,
            ""
        ),
    VALUE(SUBSTITUTE(AA42,"$",""))
)</f>
        <v>52.016764564451599</v>
      </c>
      <c r="AC42">
        <v>0</v>
      </c>
      <c r="AD42">
        <f t="shared" si="10"/>
        <v>0</v>
      </c>
      <c r="AE42">
        <v>4</v>
      </c>
      <c r="AF42">
        <f t="shared" si="11"/>
        <v>4</v>
      </c>
      <c r="AG42">
        <v>0</v>
      </c>
      <c r="AH42">
        <f t="shared" si="12"/>
        <v>0</v>
      </c>
      <c r="AI42" t="str">
        <f t="shared" si="13"/>
        <v>Complete</v>
      </c>
    </row>
    <row r="43" spans="1:35">
      <c r="A43">
        <v>25952</v>
      </c>
      <c r="B43" s="6">
        <v>45480.194050925929</v>
      </c>
      <c r="C43" s="3">
        <f t="shared" si="0"/>
        <v>45480</v>
      </c>
      <c r="D43" s="2">
        <f t="shared" si="1"/>
        <v>0.19405092592933215</v>
      </c>
      <c r="E43">
        <v>76</v>
      </c>
      <c r="F43" t="s">
        <v>33</v>
      </c>
      <c r="G43" t="str">
        <f t="shared" si="2"/>
        <v>South</v>
      </c>
      <c r="H43" t="s">
        <v>30</v>
      </c>
      <c r="I43" t="str">
        <f t="shared" si="3"/>
        <v>Mobile App</v>
      </c>
      <c r="J43">
        <v>631</v>
      </c>
      <c r="K43" t="s">
        <v>6</v>
      </c>
      <c r="L43" t="str">
        <f t="shared" si="4"/>
        <v>Corporate</v>
      </c>
      <c r="M43" t="s">
        <v>16</v>
      </c>
      <c r="N43" t="str">
        <f t="shared" si="5"/>
        <v>Grocery</v>
      </c>
      <c r="P43" t="str">
        <f>IF(LEN(TRIM(Table1[[#This Row],[subcategory]]&amp;""))=0,"Unknown", PROPER(TRIM(Table1[[#This Row],[subcategory]])))</f>
        <v>Unknown</v>
      </c>
      <c r="Q43">
        <v>193.52</v>
      </c>
      <c r="R43" s="1">
        <f t="shared" si="6"/>
        <v>193.52</v>
      </c>
      <c r="S43">
        <v>3</v>
      </c>
      <c r="T43">
        <f t="shared" si="7"/>
        <v>3</v>
      </c>
      <c r="U43" s="5" t="s">
        <v>133</v>
      </c>
      <c r="V43" s="4">
        <f t="shared" si="8"/>
        <v>580.55999999999995</v>
      </c>
      <c r="X43" s="1" t="str">
        <f t="shared" si="9"/>
        <v/>
      </c>
      <c r="Z43" s="1" t="str" cm="1">
        <f t="array" ref="Z43">IF(
    LEN(TRIM(Y43&amp;""))=0,
        IF(AND(ISNUMBER(net_sales_clean), ISNUMBER(profit_clean)),
            net_sales_clean - profit_clean,
            ""
        ),
    VALUE(SUBSTITUTE(Y43,"$",""))
)</f>
        <v/>
      </c>
      <c r="AB43" s="1" t="str" cm="1">
        <f t="array" ref="AB43">IF(
    LEN(TRIM(AA43&amp;""))=0,
        IF(AND(ISNUMBER(net_sales_clean), ISNUMBER(cost_clean)),
            net_sales_clean - cost_clean,
            ""
        ),
    VALUE(SUBSTITUTE(AA43,"$",""))
)</f>
        <v/>
      </c>
      <c r="AC43">
        <v>4</v>
      </c>
      <c r="AD43">
        <f t="shared" si="10"/>
        <v>4</v>
      </c>
      <c r="AE43">
        <v>5</v>
      </c>
      <c r="AF43">
        <f t="shared" si="11"/>
        <v>5</v>
      </c>
      <c r="AH43" t="str">
        <f t="shared" si="12"/>
        <v/>
      </c>
      <c r="AI43" t="str">
        <f t="shared" si="13"/>
        <v>Incomplete</v>
      </c>
    </row>
    <row r="44" spans="1:35">
      <c r="A44">
        <v>54909</v>
      </c>
      <c r="B44" s="6">
        <v>45765.017928240741</v>
      </c>
      <c r="C44" s="3">
        <f t="shared" si="0"/>
        <v>45765</v>
      </c>
      <c r="D44" s="2">
        <f t="shared" si="1"/>
        <v>1.7928240740729962E-2</v>
      </c>
      <c r="E44">
        <v>20</v>
      </c>
      <c r="F44" t="s">
        <v>21</v>
      </c>
      <c r="G44" t="str">
        <f t="shared" si="2"/>
        <v>Midwest</v>
      </c>
      <c r="H44" t="s">
        <v>3</v>
      </c>
      <c r="I44" t="str">
        <f t="shared" si="3"/>
        <v>Phone</v>
      </c>
      <c r="J44">
        <v>15565</v>
      </c>
      <c r="K44" t="s">
        <v>6</v>
      </c>
      <c r="L44" t="str">
        <f t="shared" si="4"/>
        <v>Corporate</v>
      </c>
      <c r="M44" t="s">
        <v>19</v>
      </c>
      <c r="N44" t="str">
        <f t="shared" si="5"/>
        <v>Apparel</v>
      </c>
      <c r="O44" t="s">
        <v>20</v>
      </c>
      <c r="P44" t="str">
        <f>IF(LEN(TRIM(Table1[[#This Row],[subcategory]]&amp;""))=0,"Unknown", PROPER(TRIM(Table1[[#This Row],[subcategory]])))</f>
        <v>Women</v>
      </c>
      <c r="Q44">
        <v>25.42</v>
      </c>
      <c r="R44" s="1">
        <f t="shared" si="6"/>
        <v>25.42</v>
      </c>
      <c r="S44">
        <v>3</v>
      </c>
      <c r="T44">
        <f t="shared" si="7"/>
        <v>3</v>
      </c>
      <c r="U44">
        <v>76.260000000000005</v>
      </c>
      <c r="V44" s="1">
        <f t="shared" si="8"/>
        <v>76.260000000000005</v>
      </c>
      <c r="W44" s="4" t="s">
        <v>132</v>
      </c>
      <c r="X44" s="4">
        <f t="shared" si="9"/>
        <v>38.282519999999998</v>
      </c>
      <c r="Y44" s="5" t="s">
        <v>131</v>
      </c>
      <c r="Z44" s="4" cm="1">
        <f t="array" ref="Z44">IF(
    LEN(TRIM(Y44&amp;""))=0,
        IF(AND(ISNUMBER(net_sales_clean), ISNUMBER(profit_clean)),
            net_sales_clean - profit_clean,
            ""
        ),
    VALUE(SUBSTITUTE(Y44,"$",""))
)</f>
        <v>27.869685723179401</v>
      </c>
      <c r="AA44" s="5" t="s">
        <v>130</v>
      </c>
      <c r="AB44" s="4" cm="1">
        <f t="array" ref="AB44">IF(
    LEN(TRIM(AA44&amp;""))=0,
        IF(AND(ISNUMBER(net_sales_clean), ISNUMBER(cost_clean)),
            net_sales_clean - cost_clean,
            ""
        ),
    VALUE(SUBSTITUTE(AA44,"$",""))
)</f>
        <v>10.412834276820499</v>
      </c>
      <c r="AC44">
        <v>7</v>
      </c>
      <c r="AD44">
        <f t="shared" si="10"/>
        <v>7</v>
      </c>
      <c r="AE44">
        <v>2</v>
      </c>
      <c r="AF44">
        <f t="shared" si="11"/>
        <v>2</v>
      </c>
      <c r="AG44">
        <v>0</v>
      </c>
      <c r="AH44">
        <f t="shared" si="12"/>
        <v>0</v>
      </c>
      <c r="AI44" t="str">
        <f t="shared" si="13"/>
        <v>Complete</v>
      </c>
    </row>
    <row r="45" spans="1:35">
      <c r="A45">
        <v>56363</v>
      </c>
      <c r="B45" s="6">
        <v>44982.477094907408</v>
      </c>
      <c r="C45" s="3">
        <f t="shared" si="0"/>
        <v>44982</v>
      </c>
      <c r="D45" s="2">
        <f t="shared" si="1"/>
        <v>0.47709490740817273</v>
      </c>
      <c r="E45">
        <v>61</v>
      </c>
      <c r="F45" t="s">
        <v>33</v>
      </c>
      <c r="G45" t="str">
        <f t="shared" si="2"/>
        <v>South</v>
      </c>
      <c r="H45" t="s">
        <v>17</v>
      </c>
      <c r="I45" t="str">
        <f t="shared" si="3"/>
        <v>Online</v>
      </c>
      <c r="J45">
        <v>10613</v>
      </c>
      <c r="K45" t="s">
        <v>6</v>
      </c>
      <c r="L45" t="str">
        <f t="shared" si="4"/>
        <v>Corporate</v>
      </c>
      <c r="M45" t="s">
        <v>16</v>
      </c>
      <c r="N45" t="str">
        <f t="shared" si="5"/>
        <v>Grocery</v>
      </c>
      <c r="O45" t="s">
        <v>28</v>
      </c>
      <c r="P45" t="str">
        <f>IF(LEN(TRIM(Table1[[#This Row],[subcategory]]&amp;""))=0,"Unknown", PROPER(TRIM(Table1[[#This Row],[subcategory]])))</f>
        <v>Pantry</v>
      </c>
      <c r="Q45">
        <v>154.55000000000001</v>
      </c>
      <c r="R45" s="1">
        <f t="shared" si="6"/>
        <v>154.55000000000001</v>
      </c>
      <c r="S45">
        <v>2</v>
      </c>
      <c r="T45">
        <f t="shared" si="7"/>
        <v>2</v>
      </c>
      <c r="U45">
        <v>309.10000000000002</v>
      </c>
      <c r="V45" s="1">
        <f t="shared" si="8"/>
        <v>309.10000000000002</v>
      </c>
      <c r="W45" s="4" t="s">
        <v>129</v>
      </c>
      <c r="X45" s="4">
        <f t="shared" si="9"/>
        <v>198.75129999999999</v>
      </c>
      <c r="Y45" s="5" t="s">
        <v>128</v>
      </c>
      <c r="Z45" s="4" cm="1">
        <f t="array" ref="Z45">IF(
    LEN(TRIM(Y45&amp;""))=0,
        IF(AND(ISNUMBER(net_sales_clean), ISNUMBER(profit_clean)),
            net_sales_clean - profit_clean,
            ""
        ),
    VALUE(SUBSTITUTE(Y45,"$",""))
)</f>
        <v>165.42493162263699</v>
      </c>
      <c r="AA45" s="5" t="s">
        <v>127</v>
      </c>
      <c r="AB45" s="4" cm="1">
        <f t="array" ref="AB45">IF(
    LEN(TRIM(AA45&amp;""))=0,
        IF(AND(ISNUMBER(net_sales_clean), ISNUMBER(cost_clean)),
            net_sales_clean - cost_clean,
            ""
        ),
    VALUE(SUBSTITUTE(AA45,"$",""))
)</f>
        <v>33.326368377362698</v>
      </c>
      <c r="AC45">
        <v>1</v>
      </c>
      <c r="AD45">
        <f t="shared" si="10"/>
        <v>1</v>
      </c>
      <c r="AE45">
        <v>5</v>
      </c>
      <c r="AF45">
        <f t="shared" si="11"/>
        <v>5</v>
      </c>
      <c r="AG45">
        <v>0</v>
      </c>
      <c r="AH45">
        <f t="shared" si="12"/>
        <v>0</v>
      </c>
      <c r="AI45" t="str">
        <f t="shared" si="13"/>
        <v>Complete</v>
      </c>
    </row>
    <row r="46" spans="1:35">
      <c r="A46">
        <v>32219</v>
      </c>
      <c r="B46" s="6">
        <v>45477.554293981484</v>
      </c>
      <c r="C46" s="3">
        <f t="shared" si="0"/>
        <v>45477</v>
      </c>
      <c r="D46" s="2">
        <f t="shared" si="1"/>
        <v>0.55429398148407927</v>
      </c>
      <c r="E46">
        <v>18</v>
      </c>
      <c r="F46" t="s">
        <v>21</v>
      </c>
      <c r="G46" t="str">
        <f t="shared" si="2"/>
        <v>Midwest</v>
      </c>
      <c r="H46" t="s">
        <v>30</v>
      </c>
      <c r="I46" t="str">
        <f t="shared" si="3"/>
        <v>Mobile App</v>
      </c>
      <c r="J46">
        <v>15268</v>
      </c>
      <c r="K46" t="s">
        <v>14</v>
      </c>
      <c r="L46" t="str">
        <f t="shared" si="4"/>
        <v>Consumer</v>
      </c>
      <c r="M46" t="s">
        <v>9</v>
      </c>
      <c r="N46" t="str">
        <f t="shared" si="5"/>
        <v>Home</v>
      </c>
      <c r="O46" t="s">
        <v>12</v>
      </c>
      <c r="P46" t="str">
        <f>IF(LEN(TRIM(Table1[[#This Row],[subcategory]]&amp;""))=0,"Unknown", PROPER(TRIM(Table1[[#This Row],[subcategory]])))</f>
        <v>Decor</v>
      </c>
      <c r="Q46">
        <v>40.31</v>
      </c>
      <c r="R46" s="1">
        <f t="shared" si="6"/>
        <v>40.31</v>
      </c>
      <c r="S46">
        <v>4</v>
      </c>
      <c r="T46">
        <f t="shared" si="7"/>
        <v>4</v>
      </c>
      <c r="U46">
        <v>161.24</v>
      </c>
      <c r="V46" s="1">
        <f t="shared" si="8"/>
        <v>161.24</v>
      </c>
      <c r="W46" s="1">
        <v>135.76408000000001</v>
      </c>
      <c r="X46" s="1">
        <f t="shared" si="9"/>
        <v>135.76408000000001</v>
      </c>
      <c r="Y46" s="5" t="s">
        <v>126</v>
      </c>
      <c r="Z46" s="4" cm="1">
        <f t="array" ref="Z46">IF(
    LEN(TRIM(Y46&amp;""))=0,
        IF(AND(ISNUMBER(net_sales_clean), ISNUMBER(profit_clean)),
            net_sales_clean - profit_clean,
            ""
        ),
    VALUE(SUBSTITUTE(Y46,"$",""))
)</f>
        <v>83.250351749040405</v>
      </c>
      <c r="AA46" s="5" t="s">
        <v>125</v>
      </c>
      <c r="AB46" s="4" cm="1">
        <f t="array" ref="AB46">IF(
    LEN(TRIM(AA46&amp;""))=0,
        IF(AND(ISNUMBER(net_sales_clean), ISNUMBER(cost_clean)),
            net_sales_clean - cost_clean,
            ""
        ),
    VALUE(SUBSTITUTE(AA46,"$",""))
)</f>
        <v>52.513728250959502</v>
      </c>
      <c r="AC46">
        <v>6</v>
      </c>
      <c r="AD46">
        <f t="shared" si="10"/>
        <v>6</v>
      </c>
      <c r="AE46">
        <v>2</v>
      </c>
      <c r="AF46">
        <f t="shared" si="11"/>
        <v>2</v>
      </c>
      <c r="AG46">
        <v>0</v>
      </c>
      <c r="AH46">
        <f t="shared" si="12"/>
        <v>0</v>
      </c>
      <c r="AI46" t="str">
        <f t="shared" si="13"/>
        <v>Complete</v>
      </c>
    </row>
    <row r="47" spans="1:35">
      <c r="A47">
        <v>2886</v>
      </c>
      <c r="B47" s="6">
        <v>45023.242083333331</v>
      </c>
      <c r="C47" s="3">
        <f t="shared" si="0"/>
        <v>45023</v>
      </c>
      <c r="D47" s="2">
        <f t="shared" si="1"/>
        <v>0.242083333330811</v>
      </c>
      <c r="E47">
        <v>61</v>
      </c>
      <c r="F47" t="s">
        <v>21</v>
      </c>
      <c r="G47" t="str">
        <f t="shared" si="2"/>
        <v>Midwest</v>
      </c>
      <c r="H47" t="s">
        <v>3</v>
      </c>
      <c r="I47" t="str">
        <f t="shared" si="3"/>
        <v>Phone</v>
      </c>
      <c r="J47">
        <v>601</v>
      </c>
      <c r="K47" t="s">
        <v>10</v>
      </c>
      <c r="L47" t="str">
        <f t="shared" si="4"/>
        <v>Consumer</v>
      </c>
      <c r="M47" t="s">
        <v>9</v>
      </c>
      <c r="N47" t="str">
        <f t="shared" si="5"/>
        <v>Home</v>
      </c>
      <c r="O47" t="s">
        <v>37</v>
      </c>
      <c r="P47" t="str">
        <f>IF(LEN(TRIM(Table1[[#This Row],[subcategory]]&amp;""))=0,"Unknown", PROPER(TRIM(Table1[[#This Row],[subcategory]])))</f>
        <v>Kitchen</v>
      </c>
      <c r="Q47">
        <v>87.51</v>
      </c>
      <c r="R47" s="1">
        <f t="shared" si="6"/>
        <v>87.51</v>
      </c>
      <c r="S47">
        <v>3</v>
      </c>
      <c r="T47">
        <f t="shared" si="7"/>
        <v>3</v>
      </c>
      <c r="U47" s="5" t="s">
        <v>43</v>
      </c>
      <c r="V47" s="4">
        <f t="shared" si="8"/>
        <v>262.52999999999997</v>
      </c>
      <c r="W47" s="4" t="s">
        <v>124</v>
      </c>
      <c r="X47" s="4">
        <f t="shared" si="9"/>
        <v>251.24121</v>
      </c>
      <c r="Y47" s="5" t="s">
        <v>123</v>
      </c>
      <c r="Z47" s="4" cm="1">
        <f t="array" ref="Z47">IF(
    LEN(TRIM(Y47&amp;""))=0,
        IF(AND(ISNUMBER(net_sales_clean), ISNUMBER(profit_clean)),
            net_sales_clean - profit_clean,
            ""
        ),
    VALUE(SUBSTITUTE(Y47,"$",""))
)</f>
        <v>153.83581699345299</v>
      </c>
      <c r="AA47" s="5" t="s">
        <v>122</v>
      </c>
      <c r="AB47" s="4" cm="1">
        <f t="array" ref="AB47">IF(
    LEN(TRIM(AA47&amp;""))=0,
        IF(AND(ISNUMBER(net_sales_clean), ISNUMBER(cost_clean)),
            net_sales_clean - cost_clean,
            ""
        ),
    VALUE(SUBSTITUTE(AA47,"$",""))
)</f>
        <v>97.405393006546603</v>
      </c>
      <c r="AC47">
        <v>7</v>
      </c>
      <c r="AD47">
        <f t="shared" si="10"/>
        <v>7</v>
      </c>
      <c r="AE47">
        <v>2</v>
      </c>
      <c r="AF47">
        <f t="shared" si="11"/>
        <v>2</v>
      </c>
      <c r="AG47">
        <v>0</v>
      </c>
      <c r="AH47">
        <f t="shared" si="12"/>
        <v>0</v>
      </c>
      <c r="AI47" t="str">
        <f t="shared" si="13"/>
        <v>Complete</v>
      </c>
    </row>
    <row r="48" spans="1:35">
      <c r="A48">
        <v>36560</v>
      </c>
      <c r="B48" s="6">
        <v>45400.636377314811</v>
      </c>
      <c r="C48" s="3">
        <f t="shared" si="0"/>
        <v>45400</v>
      </c>
      <c r="D48" s="2">
        <f t="shared" si="1"/>
        <v>0.63637731481139781</v>
      </c>
      <c r="E48">
        <v>24</v>
      </c>
      <c r="F48" t="s">
        <v>33</v>
      </c>
      <c r="G48" t="str">
        <f t="shared" si="2"/>
        <v>South</v>
      </c>
      <c r="H48" t="s">
        <v>7</v>
      </c>
      <c r="I48" t="str">
        <f t="shared" si="3"/>
        <v>In Store</v>
      </c>
      <c r="J48">
        <v>9930</v>
      </c>
      <c r="K48" t="s">
        <v>6</v>
      </c>
      <c r="L48" t="str">
        <f t="shared" si="4"/>
        <v>Corporate</v>
      </c>
      <c r="M48" t="s">
        <v>16</v>
      </c>
      <c r="N48" t="str">
        <f t="shared" si="5"/>
        <v>Grocery</v>
      </c>
      <c r="O48" t="s">
        <v>24</v>
      </c>
      <c r="P48" t="str">
        <f>IF(LEN(TRIM(Table1[[#This Row],[subcategory]]&amp;""))=0,"Unknown", PROPER(TRIM(Table1[[#This Row],[subcategory]])))</f>
        <v>Snacks</v>
      </c>
      <c r="Q48">
        <v>101.3</v>
      </c>
      <c r="R48" s="1">
        <f t="shared" si="6"/>
        <v>101.3</v>
      </c>
      <c r="S48">
        <v>2</v>
      </c>
      <c r="T48">
        <f t="shared" si="7"/>
        <v>2</v>
      </c>
      <c r="U48">
        <v>202.6</v>
      </c>
      <c r="V48" s="1">
        <f t="shared" si="8"/>
        <v>202.6</v>
      </c>
      <c r="W48" s="1">
        <v>166.53720000000001</v>
      </c>
      <c r="X48" s="1">
        <f t="shared" si="9"/>
        <v>166.53720000000001</v>
      </c>
      <c r="Y48" s="5" t="s">
        <v>121</v>
      </c>
      <c r="Z48" s="4" cm="1">
        <f t="array" ref="Z48">IF(
    LEN(TRIM(Y48&amp;""))=0,
        IF(AND(ISNUMBER(net_sales_clean), ISNUMBER(profit_clean)),
            net_sales_clean - profit_clean,
            ""
        ),
    VALUE(SUBSTITUTE(Y48,"$",""))
)</f>
        <v>141.51137835227499</v>
      </c>
      <c r="AA48" s="5" t="s">
        <v>120</v>
      </c>
      <c r="AB48" s="4" cm="1">
        <f t="array" ref="AB48">IF(
    LEN(TRIM(AA48&amp;""))=0,
        IF(AND(ISNUMBER(net_sales_clean), ISNUMBER(cost_clean)),
            net_sales_clean - cost_clean,
            ""
        ),
    VALUE(SUBSTITUTE(AA48,"$",""))
)</f>
        <v>25.0258216477242</v>
      </c>
      <c r="AC48">
        <v>8</v>
      </c>
      <c r="AD48">
        <f t="shared" si="10"/>
        <v>8</v>
      </c>
      <c r="AF48" t="str">
        <f t="shared" si="11"/>
        <v/>
      </c>
      <c r="AG48">
        <v>0</v>
      </c>
      <c r="AH48">
        <f t="shared" si="12"/>
        <v>0</v>
      </c>
      <c r="AI48" t="str">
        <f t="shared" si="13"/>
        <v>Complete</v>
      </c>
    </row>
    <row r="49" spans="1:35">
      <c r="A49">
        <v>8967</v>
      </c>
      <c r="B49" s="6">
        <v>45126.183761574073</v>
      </c>
      <c r="C49" s="3">
        <f t="shared" si="0"/>
        <v>45126</v>
      </c>
      <c r="D49" s="2">
        <f t="shared" si="1"/>
        <v>0.18376157407328719</v>
      </c>
      <c r="E49">
        <v>59</v>
      </c>
      <c r="F49" t="s">
        <v>21</v>
      </c>
      <c r="G49" t="str">
        <f t="shared" si="2"/>
        <v>Midwest</v>
      </c>
      <c r="H49" t="s">
        <v>27</v>
      </c>
      <c r="I49" t="str">
        <f t="shared" si="3"/>
        <v>In Store</v>
      </c>
      <c r="J49">
        <v>18582</v>
      </c>
      <c r="K49" t="s">
        <v>14</v>
      </c>
      <c r="L49" t="str">
        <f t="shared" si="4"/>
        <v>Consumer</v>
      </c>
      <c r="M49" t="s">
        <v>23</v>
      </c>
      <c r="N49" t="str">
        <f t="shared" si="5"/>
        <v>Electronics</v>
      </c>
      <c r="O49" t="s">
        <v>22</v>
      </c>
      <c r="P49" t="str">
        <f>IF(LEN(TRIM(Table1[[#This Row],[subcategory]]&amp;""))=0,"Unknown", PROPER(TRIM(Table1[[#This Row],[subcategory]])))</f>
        <v>Audio</v>
      </c>
      <c r="Q49">
        <v>51.61</v>
      </c>
      <c r="R49" s="1">
        <f t="shared" si="6"/>
        <v>51.61</v>
      </c>
      <c r="S49">
        <v>0</v>
      </c>
      <c r="T49">
        <f t="shared" si="7"/>
        <v>0</v>
      </c>
      <c r="U49">
        <v>0</v>
      </c>
      <c r="V49" s="1">
        <f t="shared" si="8"/>
        <v>0</v>
      </c>
      <c r="W49" s="1">
        <v>0</v>
      </c>
      <c r="X49" s="1">
        <f t="shared" si="9"/>
        <v>0</v>
      </c>
      <c r="Y49">
        <v>0</v>
      </c>
      <c r="Z49" s="1" cm="1">
        <f t="array" ref="Z49">IF(
    LEN(TRIM(Y49&amp;""))=0,
        IF(AND(ISNUMBER(net_sales_clean), ISNUMBER(profit_clean)),
            net_sales_clean - profit_clean,
            ""
        ),
    VALUE(SUBSTITUTE(Y49,"$",""))
)</f>
        <v>0</v>
      </c>
      <c r="AA49">
        <v>0</v>
      </c>
      <c r="AB49" s="1" cm="1">
        <f t="array" ref="AB49">IF(
    LEN(TRIM(AA49&amp;""))=0,
        IF(AND(ISNUMBER(net_sales_clean), ISNUMBER(cost_clean)),
            net_sales_clean - cost_clean,
            ""
        ),
    VALUE(SUBSTITUTE(AA49,"$",""))
)</f>
        <v>0</v>
      </c>
      <c r="AC49">
        <v>3</v>
      </c>
      <c r="AD49">
        <f t="shared" si="10"/>
        <v>3</v>
      </c>
      <c r="AE49">
        <v>5</v>
      </c>
      <c r="AF49">
        <f t="shared" si="11"/>
        <v>5</v>
      </c>
      <c r="AG49">
        <v>0</v>
      </c>
      <c r="AH49">
        <f t="shared" si="12"/>
        <v>0</v>
      </c>
      <c r="AI49" t="str">
        <f t="shared" si="13"/>
        <v>Incomplete</v>
      </c>
    </row>
    <row r="50" spans="1:35">
      <c r="A50">
        <v>46575</v>
      </c>
      <c r="B50" s="6">
        <v>45033.499155092592</v>
      </c>
      <c r="C50" s="3">
        <f t="shared" si="0"/>
        <v>45033</v>
      </c>
      <c r="D50" s="2">
        <f t="shared" si="1"/>
        <v>0.49915509259153623</v>
      </c>
      <c r="E50">
        <v>40</v>
      </c>
      <c r="F50" t="s">
        <v>21</v>
      </c>
      <c r="G50" t="str">
        <f t="shared" si="2"/>
        <v>Midwest</v>
      </c>
      <c r="H50" t="s">
        <v>3</v>
      </c>
      <c r="I50" t="str">
        <f t="shared" si="3"/>
        <v>Phone</v>
      </c>
      <c r="J50">
        <v>4955</v>
      </c>
      <c r="K50" t="s">
        <v>14</v>
      </c>
      <c r="L50" t="str">
        <f t="shared" si="4"/>
        <v>Consumer</v>
      </c>
      <c r="M50" t="s">
        <v>19</v>
      </c>
      <c r="N50" t="str">
        <f t="shared" si="5"/>
        <v>Apparel</v>
      </c>
      <c r="O50" t="s">
        <v>26</v>
      </c>
      <c r="P50" t="str">
        <f>IF(LEN(TRIM(Table1[[#This Row],[subcategory]]&amp;""))=0,"Unknown", PROPER(TRIM(Table1[[#This Row],[subcategory]])))</f>
        <v>Kids</v>
      </c>
      <c r="Q50">
        <v>156.05000000000001</v>
      </c>
      <c r="R50" s="1">
        <f t="shared" si="6"/>
        <v>156.05000000000001</v>
      </c>
      <c r="S50">
        <v>2</v>
      </c>
      <c r="T50">
        <f t="shared" si="7"/>
        <v>2</v>
      </c>
      <c r="U50">
        <v>312.10000000000002</v>
      </c>
      <c r="V50" s="1">
        <f t="shared" si="8"/>
        <v>312.10000000000002</v>
      </c>
      <c r="W50" s="4" t="s">
        <v>119</v>
      </c>
      <c r="X50" s="4">
        <f t="shared" si="9"/>
        <v>270.27859999999998</v>
      </c>
      <c r="Y50" s="5" t="s">
        <v>118</v>
      </c>
      <c r="Z50" s="4" cm="1">
        <f t="array" ref="Z50">IF(
    LEN(TRIM(Y50&amp;""))=0,
        IF(AND(ISNUMBER(net_sales_clean), ISNUMBER(profit_clean)),
            net_sales_clean - profit_clean,
            ""
        ),
    VALUE(SUBSTITUTE(Y50,"$",""))
)</f>
        <v>225.22404908755999</v>
      </c>
      <c r="AA50" s="5" t="s">
        <v>117</v>
      </c>
      <c r="AB50" s="4" cm="1">
        <f t="array" ref="AB50">IF(
    LEN(TRIM(AA50&amp;""))=0,
        IF(AND(ISNUMBER(net_sales_clean), ISNUMBER(cost_clean)),
            net_sales_clean - cost_clean,
            ""
        ),
    VALUE(SUBSTITUTE(AA50,"$",""))
)</f>
        <v>45.054550912439701</v>
      </c>
      <c r="AC50">
        <v>9</v>
      </c>
      <c r="AD50">
        <f t="shared" si="10"/>
        <v>9</v>
      </c>
      <c r="AE50">
        <v>5</v>
      </c>
      <c r="AF50">
        <f t="shared" si="11"/>
        <v>5</v>
      </c>
      <c r="AG50">
        <v>0</v>
      </c>
      <c r="AH50">
        <f t="shared" si="12"/>
        <v>0</v>
      </c>
      <c r="AI50" t="str">
        <f t="shared" si="13"/>
        <v>Complete</v>
      </c>
    </row>
    <row r="51" spans="1:35">
      <c r="A51">
        <v>10531</v>
      </c>
      <c r="B51" s="6">
        <v>45907.040729166663</v>
      </c>
      <c r="C51" s="3">
        <f t="shared" si="0"/>
        <v>45907</v>
      </c>
      <c r="D51" s="2">
        <f t="shared" si="1"/>
        <v>4.0729166663368233E-2</v>
      </c>
      <c r="E51">
        <v>26</v>
      </c>
      <c r="F51" t="s">
        <v>13</v>
      </c>
      <c r="G51" t="str">
        <f t="shared" si="2"/>
        <v>Northeast</v>
      </c>
      <c r="H51" t="s">
        <v>7</v>
      </c>
      <c r="I51" t="str">
        <f t="shared" si="3"/>
        <v>In Store</v>
      </c>
      <c r="J51">
        <v>27886</v>
      </c>
      <c r="K51" t="s">
        <v>14</v>
      </c>
      <c r="L51" t="str">
        <f t="shared" si="4"/>
        <v>Consumer</v>
      </c>
      <c r="M51" t="s">
        <v>19</v>
      </c>
      <c r="N51" t="str">
        <f t="shared" si="5"/>
        <v>Apparel</v>
      </c>
      <c r="P51" t="str">
        <f>IF(LEN(TRIM(Table1[[#This Row],[subcategory]]&amp;""))=0,"Unknown", PROPER(TRIM(Table1[[#This Row],[subcategory]])))</f>
        <v>Unknown</v>
      </c>
      <c r="Q51">
        <v>65.959999999999994</v>
      </c>
      <c r="R51" s="1">
        <f t="shared" si="6"/>
        <v>65.959999999999994</v>
      </c>
      <c r="S51">
        <v>1</v>
      </c>
      <c r="T51">
        <f t="shared" si="7"/>
        <v>1</v>
      </c>
      <c r="U51">
        <v>65.959999999999994</v>
      </c>
      <c r="V51" s="1">
        <f t="shared" si="8"/>
        <v>65.959999999999994</v>
      </c>
      <c r="W51" s="1">
        <v>60.22148</v>
      </c>
      <c r="X51" s="1">
        <f t="shared" si="9"/>
        <v>60.22148</v>
      </c>
      <c r="Y51" s="5" t="s">
        <v>116</v>
      </c>
      <c r="Z51" s="4" cm="1">
        <f t="array" ref="Z51">IF(
    LEN(TRIM(Y51&amp;""))=0,
        IF(AND(ISNUMBER(net_sales_clean), ISNUMBER(profit_clean)),
            net_sales_clean - profit_clean,
            ""
        ),
    VALUE(SUBSTITUTE(Y51,"$",""))
)</f>
        <v>36.102694674746701</v>
      </c>
      <c r="AA51" s="5" t="s">
        <v>115</v>
      </c>
      <c r="AB51" s="4" cm="1">
        <f t="array" ref="AB51">IF(
    LEN(TRIM(AA51&amp;""))=0,
        IF(AND(ISNUMBER(net_sales_clean), ISNUMBER(cost_clean)),
            net_sales_clean - cost_clean,
            ""
        ),
    VALUE(SUBSTITUTE(AA51,"$",""))
)</f>
        <v>24.118785325253199</v>
      </c>
      <c r="AC51">
        <v>5</v>
      </c>
      <c r="AD51">
        <f t="shared" si="10"/>
        <v>5</v>
      </c>
      <c r="AE51">
        <v>1</v>
      </c>
      <c r="AF51">
        <f t="shared" si="11"/>
        <v>1</v>
      </c>
      <c r="AG51">
        <v>0</v>
      </c>
      <c r="AH51">
        <f t="shared" si="12"/>
        <v>0</v>
      </c>
      <c r="AI51" t="str">
        <f t="shared" si="13"/>
        <v>Complete</v>
      </c>
    </row>
    <row r="52" spans="1:35">
      <c r="A52">
        <v>44629</v>
      </c>
      <c r="B52" s="6">
        <v>45002.993564814817</v>
      </c>
      <c r="C52" s="3">
        <f t="shared" si="0"/>
        <v>45002</v>
      </c>
      <c r="D52" s="2">
        <f t="shared" si="1"/>
        <v>0.9935648148166365</v>
      </c>
      <c r="E52">
        <v>45</v>
      </c>
      <c r="F52" t="s">
        <v>21</v>
      </c>
      <c r="G52" t="str">
        <f t="shared" si="2"/>
        <v>Midwest</v>
      </c>
      <c r="H52" t="s">
        <v>11</v>
      </c>
      <c r="I52" t="str">
        <f t="shared" si="3"/>
        <v>Online</v>
      </c>
      <c r="J52">
        <v>22933</v>
      </c>
      <c r="K52" t="s">
        <v>14</v>
      </c>
      <c r="L52" t="str">
        <f t="shared" si="4"/>
        <v>Consumer</v>
      </c>
      <c r="M52" t="s">
        <v>16</v>
      </c>
      <c r="N52" t="str">
        <f t="shared" si="5"/>
        <v>Grocery</v>
      </c>
      <c r="O52" t="s">
        <v>36</v>
      </c>
      <c r="P52" t="str">
        <f>IF(LEN(TRIM(Table1[[#This Row],[subcategory]]&amp;""))=0,"Unknown", PROPER(TRIM(Table1[[#This Row],[subcategory]])))</f>
        <v>Produce</v>
      </c>
      <c r="Q52">
        <v>48.24</v>
      </c>
      <c r="R52" s="1">
        <f t="shared" si="6"/>
        <v>48.24</v>
      </c>
      <c r="S52">
        <v>0</v>
      </c>
      <c r="T52">
        <f t="shared" si="7"/>
        <v>0</v>
      </c>
      <c r="U52">
        <v>0</v>
      </c>
      <c r="V52" s="1">
        <f t="shared" si="8"/>
        <v>0</v>
      </c>
      <c r="W52" s="1">
        <v>0</v>
      </c>
      <c r="X52" s="1">
        <f t="shared" si="9"/>
        <v>0</v>
      </c>
      <c r="Y52">
        <v>0</v>
      </c>
      <c r="Z52" s="1" cm="1">
        <f t="array" ref="Z52">IF(
    LEN(TRIM(Y52&amp;""))=0,
        IF(AND(ISNUMBER(net_sales_clean), ISNUMBER(profit_clean)),
            net_sales_clean - profit_clean,
            ""
        ),
    VALUE(SUBSTITUTE(Y52,"$",""))
)</f>
        <v>0</v>
      </c>
      <c r="AA52">
        <v>0</v>
      </c>
      <c r="AB52" s="1" cm="1">
        <f t="array" ref="AB52">IF(
    LEN(TRIM(AA52&amp;""))=0,
        IF(AND(ISNUMBER(net_sales_clean), ISNUMBER(cost_clean)),
            net_sales_clean - cost_clean,
            ""
        ),
    VALUE(SUBSTITUTE(AA52,"$",""))
)</f>
        <v>0</v>
      </c>
      <c r="AC52">
        <v>1</v>
      </c>
      <c r="AD52">
        <f t="shared" si="10"/>
        <v>1</v>
      </c>
      <c r="AE52">
        <v>1</v>
      </c>
      <c r="AF52">
        <f t="shared" si="11"/>
        <v>1</v>
      </c>
      <c r="AG52">
        <v>0</v>
      </c>
      <c r="AH52">
        <f t="shared" si="12"/>
        <v>0</v>
      </c>
      <c r="AI52" t="str">
        <f t="shared" si="13"/>
        <v>Incomplete</v>
      </c>
    </row>
    <row r="53" spans="1:35">
      <c r="A53">
        <v>274</v>
      </c>
      <c r="B53" s="6">
        <v>45713.835243055553</v>
      </c>
      <c r="C53" s="3">
        <f t="shared" si="0"/>
        <v>45713</v>
      </c>
      <c r="D53" s="2">
        <f t="shared" si="1"/>
        <v>0.83524305555329192</v>
      </c>
      <c r="E53">
        <v>62</v>
      </c>
      <c r="F53" t="s">
        <v>21</v>
      </c>
      <c r="G53" t="str">
        <f t="shared" si="2"/>
        <v>Midwest</v>
      </c>
      <c r="H53" t="s">
        <v>17</v>
      </c>
      <c r="I53" t="str">
        <f t="shared" si="3"/>
        <v>Online</v>
      </c>
      <c r="J53">
        <v>17184</v>
      </c>
      <c r="K53" t="s">
        <v>6</v>
      </c>
      <c r="L53" t="str">
        <f t="shared" si="4"/>
        <v>Corporate</v>
      </c>
      <c r="M53" t="s">
        <v>23</v>
      </c>
      <c r="N53" t="str">
        <f t="shared" si="5"/>
        <v>Electronics</v>
      </c>
      <c r="O53" t="s">
        <v>22</v>
      </c>
      <c r="P53" t="str">
        <f>IF(LEN(TRIM(Table1[[#This Row],[subcategory]]&amp;""))=0,"Unknown", PROPER(TRIM(Table1[[#This Row],[subcategory]])))</f>
        <v>Audio</v>
      </c>
      <c r="Q53">
        <v>63.19</v>
      </c>
      <c r="R53" s="1">
        <f t="shared" si="6"/>
        <v>63.19</v>
      </c>
      <c r="S53">
        <v>0</v>
      </c>
      <c r="T53">
        <f t="shared" si="7"/>
        <v>0</v>
      </c>
      <c r="U53">
        <v>0</v>
      </c>
      <c r="V53" s="1">
        <f t="shared" si="8"/>
        <v>0</v>
      </c>
      <c r="X53" s="1" t="str">
        <f t="shared" si="9"/>
        <v/>
      </c>
      <c r="Z53" s="1" t="str" cm="1">
        <f t="array" ref="Z53">IF(
    LEN(TRIM(Y53&amp;""))=0,
        IF(AND(ISNUMBER(net_sales_clean), ISNUMBER(profit_clean)),
            net_sales_clean - profit_clean,
            ""
        ),
    VALUE(SUBSTITUTE(Y53,"$",""))
)</f>
        <v/>
      </c>
      <c r="AB53" s="1" t="str" cm="1">
        <f t="array" ref="AB53">IF(
    LEN(TRIM(AA53&amp;""))=0,
        IF(AND(ISNUMBER(net_sales_clean), ISNUMBER(cost_clean)),
            net_sales_clean - cost_clean,
            ""
        ),
    VALUE(SUBSTITUTE(AA53,"$",""))
)</f>
        <v/>
      </c>
      <c r="AC53">
        <v>7</v>
      </c>
      <c r="AD53">
        <f t="shared" si="10"/>
        <v>7</v>
      </c>
      <c r="AE53">
        <v>2</v>
      </c>
      <c r="AF53">
        <f t="shared" si="11"/>
        <v>2</v>
      </c>
      <c r="AH53" t="str">
        <f t="shared" si="12"/>
        <v/>
      </c>
      <c r="AI53" t="str">
        <f t="shared" si="13"/>
        <v>Incomplete</v>
      </c>
    </row>
    <row r="54" spans="1:35">
      <c r="A54">
        <v>19270</v>
      </c>
      <c r="B54" s="6">
        <v>45822.646793981483</v>
      </c>
      <c r="C54" s="3">
        <f t="shared" si="0"/>
        <v>45822</v>
      </c>
      <c r="D54" s="2">
        <f t="shared" si="1"/>
        <v>0.64679398148291511</v>
      </c>
      <c r="E54">
        <v>8</v>
      </c>
      <c r="F54" t="s">
        <v>13</v>
      </c>
      <c r="G54" t="str">
        <f t="shared" si="2"/>
        <v>Northeast</v>
      </c>
      <c r="H54" t="s">
        <v>17</v>
      </c>
      <c r="I54" t="str">
        <f t="shared" si="3"/>
        <v>Online</v>
      </c>
      <c r="J54">
        <v>9081</v>
      </c>
      <c r="K54" t="s">
        <v>6</v>
      </c>
      <c r="L54" t="str">
        <f t="shared" si="4"/>
        <v>Corporate</v>
      </c>
      <c r="M54" t="s">
        <v>9</v>
      </c>
      <c r="N54" t="str">
        <f t="shared" si="5"/>
        <v>Home</v>
      </c>
      <c r="O54" t="s">
        <v>35</v>
      </c>
      <c r="P54" t="str">
        <f>IF(LEN(TRIM(Table1[[#This Row],[subcategory]]&amp;""))=0,"Unknown", PROPER(TRIM(Table1[[#This Row],[subcategory]])))</f>
        <v>Bedding</v>
      </c>
      <c r="Q54">
        <v>40.369999999999997</v>
      </c>
      <c r="R54" s="1">
        <f t="shared" si="6"/>
        <v>40.369999999999997</v>
      </c>
      <c r="S54">
        <v>1</v>
      </c>
      <c r="T54">
        <f t="shared" si="7"/>
        <v>1</v>
      </c>
      <c r="U54">
        <v>40.369999999999997</v>
      </c>
      <c r="V54" s="1">
        <f t="shared" si="8"/>
        <v>40.369999999999997</v>
      </c>
      <c r="W54" s="1">
        <v>29.914169999999999</v>
      </c>
      <c r="X54" s="1">
        <f t="shared" si="9"/>
        <v>29.914169999999999</v>
      </c>
      <c r="Y54" s="5" t="s">
        <v>114</v>
      </c>
      <c r="Z54" s="4" cm="1">
        <f t="array" ref="Z54">IF(
    LEN(TRIM(Y54&amp;""))=0,
        IF(AND(ISNUMBER(net_sales_clean), ISNUMBER(profit_clean)),
            net_sales_clean - profit_clean,
            ""
        ),
    VALUE(SUBSTITUTE(Y54,"$",""))
)</f>
        <v>18.998809831319601</v>
      </c>
      <c r="AA54" s="5" t="s">
        <v>113</v>
      </c>
      <c r="AB54" s="4" cm="1">
        <f t="array" ref="AB54">IF(
    LEN(TRIM(AA54&amp;""))=0,
        IF(AND(ISNUMBER(net_sales_clean), ISNUMBER(cost_clean)),
            net_sales_clean - cost_clean,
            ""
        ),
    VALUE(SUBSTITUTE(AA54,"$",""))
)</f>
        <v>10.9153601686803</v>
      </c>
      <c r="AC54">
        <v>7</v>
      </c>
      <c r="AD54">
        <f t="shared" si="10"/>
        <v>7</v>
      </c>
      <c r="AE54">
        <v>2</v>
      </c>
      <c r="AF54">
        <f t="shared" si="11"/>
        <v>2</v>
      </c>
      <c r="AG54">
        <v>0</v>
      </c>
      <c r="AH54">
        <f t="shared" si="12"/>
        <v>0</v>
      </c>
      <c r="AI54" t="str">
        <f t="shared" si="13"/>
        <v>Complete</v>
      </c>
    </row>
    <row r="55" spans="1:35">
      <c r="A55">
        <v>36912</v>
      </c>
      <c r="B55" s="6">
        <v>45314.830104166664</v>
      </c>
      <c r="C55" s="3">
        <f t="shared" si="0"/>
        <v>45314</v>
      </c>
      <c r="D55" s="2">
        <f t="shared" si="1"/>
        <v>0.83010416666365927</v>
      </c>
      <c r="E55">
        <v>13</v>
      </c>
      <c r="F55" t="s">
        <v>8</v>
      </c>
      <c r="G55" t="str">
        <f t="shared" si="2"/>
        <v>West</v>
      </c>
      <c r="H55" t="s">
        <v>27</v>
      </c>
      <c r="I55" t="str">
        <f t="shared" si="3"/>
        <v>In Store</v>
      </c>
      <c r="J55">
        <v>22000</v>
      </c>
      <c r="K55" t="s">
        <v>2</v>
      </c>
      <c r="L55" t="str">
        <f t="shared" si="4"/>
        <v>Home Office</v>
      </c>
      <c r="M55" t="s">
        <v>19</v>
      </c>
      <c r="N55" t="str">
        <f t="shared" si="5"/>
        <v>Apparel</v>
      </c>
      <c r="O55" t="s">
        <v>20</v>
      </c>
      <c r="P55" t="str">
        <f>IF(LEN(TRIM(Table1[[#This Row],[subcategory]]&amp;""))=0,"Unknown", PROPER(TRIM(Table1[[#This Row],[subcategory]])))</f>
        <v>Women</v>
      </c>
      <c r="Q55">
        <v>75.099999999999994</v>
      </c>
      <c r="R55" s="1">
        <f t="shared" si="6"/>
        <v>75.099999999999994</v>
      </c>
      <c r="S55">
        <v>4</v>
      </c>
      <c r="T55">
        <f t="shared" si="7"/>
        <v>4</v>
      </c>
      <c r="U55">
        <v>300.39999999999998</v>
      </c>
      <c r="V55" s="1">
        <f t="shared" si="8"/>
        <v>300.39999999999998</v>
      </c>
      <c r="W55" s="1">
        <v>199.1652</v>
      </c>
      <c r="X55" s="1">
        <f t="shared" si="9"/>
        <v>199.1652</v>
      </c>
      <c r="Y55" s="5" t="s">
        <v>112</v>
      </c>
      <c r="Z55" s="4" cm="1">
        <f t="array" ref="Z55">IF(
    LEN(TRIM(Y55&amp;""))=0,
        IF(AND(ISNUMBER(net_sales_clean), ISNUMBER(profit_clean)),
            net_sales_clean - profit_clean,
            ""
        ),
    VALUE(SUBSTITUTE(Y55,"$",""))
)</f>
        <v>134.131024214836</v>
      </c>
      <c r="AA55">
        <v>65.034175785163796</v>
      </c>
      <c r="AB55" s="1" cm="1">
        <f t="array" ref="AB55">IF(
    LEN(TRIM(AA55&amp;""))=0,
        IF(AND(ISNUMBER(net_sales_clean), ISNUMBER(cost_clean)),
            net_sales_clean - cost_clean,
            ""
        ),
    VALUE(SUBSTITUTE(AA55,"$",""))
)</f>
        <v>65.034175785163796</v>
      </c>
      <c r="AC55">
        <v>5</v>
      </c>
      <c r="AD55">
        <f t="shared" si="10"/>
        <v>5</v>
      </c>
      <c r="AE55">
        <v>4</v>
      </c>
      <c r="AF55">
        <f t="shared" si="11"/>
        <v>4</v>
      </c>
      <c r="AG55">
        <v>0</v>
      </c>
      <c r="AH55">
        <f t="shared" si="12"/>
        <v>0</v>
      </c>
      <c r="AI55" t="str">
        <f t="shared" si="13"/>
        <v>Complete</v>
      </c>
    </row>
    <row r="56" spans="1:35">
      <c r="A56">
        <v>10122</v>
      </c>
      <c r="B56" s="6">
        <v>45812.356122685182</v>
      </c>
      <c r="C56" s="3">
        <f t="shared" si="0"/>
        <v>45812</v>
      </c>
      <c r="D56" s="2">
        <f t="shared" si="1"/>
        <v>0.35612268518161727</v>
      </c>
      <c r="E56">
        <v>4</v>
      </c>
      <c r="F56" t="s">
        <v>33</v>
      </c>
      <c r="G56" t="str">
        <f t="shared" si="2"/>
        <v>South</v>
      </c>
      <c r="H56" t="s">
        <v>11</v>
      </c>
      <c r="I56" t="str">
        <f t="shared" si="3"/>
        <v>Online</v>
      </c>
      <c r="J56">
        <v>5317</v>
      </c>
      <c r="K56" t="s">
        <v>2</v>
      </c>
      <c r="L56" t="str">
        <f t="shared" si="4"/>
        <v>Home Office</v>
      </c>
      <c r="M56" t="s">
        <v>19</v>
      </c>
      <c r="N56" t="str">
        <f t="shared" si="5"/>
        <v>Apparel</v>
      </c>
      <c r="O56" t="s">
        <v>26</v>
      </c>
      <c r="P56" t="str">
        <f>IF(LEN(TRIM(Table1[[#This Row],[subcategory]]&amp;""))=0,"Unknown", PROPER(TRIM(Table1[[#This Row],[subcategory]])))</f>
        <v>Kids</v>
      </c>
      <c r="Q56">
        <v>31.62</v>
      </c>
      <c r="R56" s="1">
        <f t="shared" si="6"/>
        <v>31.62</v>
      </c>
      <c r="S56">
        <v>2</v>
      </c>
      <c r="T56">
        <f t="shared" si="7"/>
        <v>2</v>
      </c>
      <c r="U56">
        <v>63.24</v>
      </c>
      <c r="V56" s="1">
        <f t="shared" si="8"/>
        <v>63.24</v>
      </c>
      <c r="W56" s="1">
        <v>60.836880000000001</v>
      </c>
      <c r="X56" s="1">
        <f t="shared" si="9"/>
        <v>60.836880000000001</v>
      </c>
      <c r="Z56" s="1" t="str" cm="1">
        <f t="array" ref="Z56">IF(
    LEN(TRIM(Y56&amp;""))=0,
        IF(AND(ISNUMBER(net_sales_clean), ISNUMBER(profit_clean)),
            net_sales_clean - profit_clean,
            ""
        ),
    VALUE(SUBSTITUTE(Y56,"$",""))
)</f>
        <v/>
      </c>
      <c r="AB56" s="1" t="str" cm="1">
        <f t="array" ref="AB56">IF(
    LEN(TRIM(AA56&amp;""))=0,
        IF(AND(ISNUMBER(net_sales_clean), ISNUMBER(cost_clean)),
            net_sales_clean - cost_clean,
            ""
        ),
    VALUE(SUBSTITUTE(AA56,"$",""))
)</f>
        <v/>
      </c>
      <c r="AC56">
        <v>9</v>
      </c>
      <c r="AD56">
        <f t="shared" si="10"/>
        <v>9</v>
      </c>
      <c r="AE56">
        <v>2</v>
      </c>
      <c r="AF56">
        <f t="shared" si="11"/>
        <v>2</v>
      </c>
      <c r="AG56">
        <v>0</v>
      </c>
      <c r="AH56">
        <f t="shared" si="12"/>
        <v>0</v>
      </c>
      <c r="AI56" t="str">
        <f t="shared" si="13"/>
        <v>Incomplete</v>
      </c>
    </row>
    <row r="57" spans="1:35">
      <c r="A57">
        <v>13291</v>
      </c>
      <c r="B57" s="6">
        <v>44972.159108796295</v>
      </c>
      <c r="C57" s="3">
        <f t="shared" si="0"/>
        <v>44972</v>
      </c>
      <c r="D57" s="2">
        <f t="shared" si="1"/>
        <v>0.15910879629518604</v>
      </c>
      <c r="E57">
        <v>27</v>
      </c>
      <c r="F57" t="s">
        <v>4</v>
      </c>
      <c r="G57" t="str">
        <f t="shared" si="2"/>
        <v>South</v>
      </c>
      <c r="H57" t="s">
        <v>17</v>
      </c>
      <c r="I57" t="str">
        <f t="shared" si="3"/>
        <v>Online</v>
      </c>
      <c r="J57">
        <v>55</v>
      </c>
      <c r="K57" t="s">
        <v>2</v>
      </c>
      <c r="L57" t="str">
        <f t="shared" si="4"/>
        <v>Home Office</v>
      </c>
      <c r="M57" t="s">
        <v>9</v>
      </c>
      <c r="N57" t="str">
        <f t="shared" si="5"/>
        <v>Home</v>
      </c>
      <c r="O57" t="s">
        <v>35</v>
      </c>
      <c r="P57" t="str">
        <f>IF(LEN(TRIM(Table1[[#This Row],[subcategory]]&amp;""))=0,"Unknown", PROPER(TRIM(Table1[[#This Row],[subcategory]])))</f>
        <v>Bedding</v>
      </c>
      <c r="Q57">
        <v>59.97</v>
      </c>
      <c r="R57" s="1">
        <f t="shared" si="6"/>
        <v>59.97</v>
      </c>
      <c r="S57">
        <v>4</v>
      </c>
      <c r="T57">
        <f t="shared" si="7"/>
        <v>4</v>
      </c>
      <c r="U57">
        <v>239.88</v>
      </c>
      <c r="V57" s="1">
        <f t="shared" si="8"/>
        <v>239.88</v>
      </c>
      <c r="W57" s="1">
        <v>203.65812</v>
      </c>
      <c r="X57" s="1">
        <f t="shared" si="9"/>
        <v>203.65812</v>
      </c>
      <c r="Y57" s="5" t="s">
        <v>111</v>
      </c>
      <c r="Z57" s="4" cm="1">
        <f t="array" ref="Z57">IF(
    LEN(TRIM(Y57&amp;""))=0,
        IF(AND(ISNUMBER(net_sales_clean), ISNUMBER(profit_clean)),
            net_sales_clean - profit_clean,
            ""
        ),
    VALUE(SUBSTITUTE(Y57,"$",""))
)</f>
        <v>132.74900014507</v>
      </c>
      <c r="AA57">
        <v>70.909119854929401</v>
      </c>
      <c r="AB57" s="1" cm="1">
        <f t="array" ref="AB57">IF(
    LEN(TRIM(AA57&amp;""))=0,
        IF(AND(ISNUMBER(net_sales_clean), ISNUMBER(cost_clean)),
            net_sales_clean - cost_clean,
            ""
        ),
    VALUE(SUBSTITUTE(AA57,"$",""))
)</f>
        <v>70.909119854929401</v>
      </c>
      <c r="AC57">
        <v>6</v>
      </c>
      <c r="AD57">
        <f t="shared" si="10"/>
        <v>6</v>
      </c>
      <c r="AE57">
        <v>5</v>
      </c>
      <c r="AF57">
        <f t="shared" si="11"/>
        <v>5</v>
      </c>
      <c r="AG57">
        <v>0</v>
      </c>
      <c r="AH57">
        <f t="shared" si="12"/>
        <v>0</v>
      </c>
      <c r="AI57" t="str">
        <f t="shared" si="13"/>
        <v>Complete</v>
      </c>
    </row>
    <row r="58" spans="1:35">
      <c r="A58">
        <v>57607</v>
      </c>
      <c r="B58" s="6">
        <v>45140.68178240741</v>
      </c>
      <c r="C58" s="3">
        <f t="shared" si="0"/>
        <v>45140</v>
      </c>
      <c r="D58" s="2">
        <f t="shared" si="1"/>
        <v>0.68178240740962792</v>
      </c>
      <c r="E58">
        <v>78</v>
      </c>
      <c r="F58" t="s">
        <v>4</v>
      </c>
      <c r="G58" t="str">
        <f t="shared" si="2"/>
        <v>South</v>
      </c>
      <c r="H58" t="s">
        <v>17</v>
      </c>
      <c r="I58" t="str">
        <f t="shared" si="3"/>
        <v>Online</v>
      </c>
      <c r="J58">
        <v>28569</v>
      </c>
      <c r="K58" t="s">
        <v>14</v>
      </c>
      <c r="L58" t="str">
        <f t="shared" si="4"/>
        <v>Consumer</v>
      </c>
      <c r="M58" t="s">
        <v>19</v>
      </c>
      <c r="N58" t="str">
        <f t="shared" si="5"/>
        <v>Apparel</v>
      </c>
      <c r="O58" t="s">
        <v>20</v>
      </c>
      <c r="P58" t="str">
        <f>IF(LEN(TRIM(Table1[[#This Row],[subcategory]]&amp;""))=0,"Unknown", PROPER(TRIM(Table1[[#This Row],[subcategory]])))</f>
        <v>Women</v>
      </c>
      <c r="Q58">
        <v>75.349999999999994</v>
      </c>
      <c r="R58" s="1">
        <f t="shared" si="6"/>
        <v>75.349999999999994</v>
      </c>
      <c r="S58">
        <v>3</v>
      </c>
      <c r="T58">
        <f t="shared" si="7"/>
        <v>3</v>
      </c>
      <c r="U58" s="5" t="s">
        <v>41</v>
      </c>
      <c r="V58" s="4">
        <f t="shared" si="8"/>
        <v>226.04999999999899</v>
      </c>
      <c r="W58" s="4" t="s">
        <v>110</v>
      </c>
      <c r="X58" s="4">
        <f t="shared" si="9"/>
        <v>183.326549999999</v>
      </c>
      <c r="Z58" s="1" t="str" cm="1">
        <f t="array" ref="Z58">IF(
    LEN(TRIM(Y58&amp;""))=0,
        IF(AND(ISNUMBER(net_sales_clean), ISNUMBER(profit_clean)),
            net_sales_clean - profit_clean,
            ""
        ),
    VALUE(SUBSTITUTE(Y58,"$",""))
)</f>
        <v/>
      </c>
      <c r="AB58" s="1" t="str" cm="1">
        <f t="array" ref="AB58">IF(
    LEN(TRIM(AA58&amp;""))=0,
        IF(AND(ISNUMBER(net_sales_clean), ISNUMBER(cost_clean)),
            net_sales_clean - cost_clean,
            ""
        ),
    VALUE(SUBSTITUTE(AA58,"$",""))
)</f>
        <v/>
      </c>
      <c r="AC58">
        <v>5</v>
      </c>
      <c r="AD58">
        <f t="shared" si="10"/>
        <v>5</v>
      </c>
      <c r="AE58">
        <v>3</v>
      </c>
      <c r="AF58">
        <f t="shared" si="11"/>
        <v>3</v>
      </c>
      <c r="AG58">
        <v>1</v>
      </c>
      <c r="AH58">
        <f t="shared" si="12"/>
        <v>1</v>
      </c>
      <c r="AI58" t="str">
        <f t="shared" si="13"/>
        <v>Incomplete</v>
      </c>
    </row>
    <row r="59" spans="1:35">
      <c r="A59">
        <v>47190</v>
      </c>
      <c r="B59" s="6">
        <v>45478.663368055553</v>
      </c>
      <c r="C59" s="3">
        <f t="shared" si="0"/>
        <v>45478</v>
      </c>
      <c r="D59" s="2">
        <f t="shared" si="1"/>
        <v>0.66336805555329192</v>
      </c>
      <c r="E59">
        <v>14</v>
      </c>
      <c r="F59" t="s">
        <v>4</v>
      </c>
      <c r="G59" t="str">
        <f t="shared" si="2"/>
        <v>South</v>
      </c>
      <c r="H59" t="s">
        <v>3</v>
      </c>
      <c r="I59" t="str">
        <f t="shared" si="3"/>
        <v>Phone</v>
      </c>
      <c r="J59">
        <v>26203</v>
      </c>
      <c r="K59" t="s">
        <v>6</v>
      </c>
      <c r="L59" t="str">
        <f t="shared" si="4"/>
        <v>Corporate</v>
      </c>
      <c r="M59" t="s">
        <v>19</v>
      </c>
      <c r="N59" t="str">
        <f t="shared" si="5"/>
        <v>Apparel</v>
      </c>
      <c r="O59" t="s">
        <v>40</v>
      </c>
      <c r="P59" t="str">
        <f>IF(LEN(TRIM(Table1[[#This Row],[subcategory]]&amp;""))=0,"Unknown", PROPER(TRIM(Table1[[#This Row],[subcategory]])))</f>
        <v>Shoes</v>
      </c>
      <c r="Q59">
        <v>88.33</v>
      </c>
      <c r="R59" s="1">
        <f t="shared" si="6"/>
        <v>88.33</v>
      </c>
      <c r="S59">
        <v>3</v>
      </c>
      <c r="T59">
        <f t="shared" si="7"/>
        <v>3</v>
      </c>
      <c r="U59">
        <v>264.99</v>
      </c>
      <c r="V59" s="1">
        <f t="shared" si="8"/>
        <v>264.99</v>
      </c>
      <c r="W59" s="1">
        <v>226.03647000000001</v>
      </c>
      <c r="X59" s="1">
        <f t="shared" si="9"/>
        <v>226.03647000000001</v>
      </c>
      <c r="Y59" s="5" t="s">
        <v>109</v>
      </c>
      <c r="Z59" s="4" cm="1">
        <f t="array" ref="Z59">IF(
    LEN(TRIM(Y59&amp;""))=0,
        IF(AND(ISNUMBER(net_sales_clean), ISNUMBER(profit_clean)),
            net_sales_clean - profit_clean,
            ""
        ),
    VALUE(SUBSTITUTE(Y59,"$",""))
)</f>
        <v>169.459917661616</v>
      </c>
      <c r="AA59" s="5" t="s">
        <v>108</v>
      </c>
      <c r="AB59" s="4" cm="1">
        <f t="array" ref="AB59">IF(
    LEN(TRIM(AA59&amp;""))=0,
        IF(AND(ISNUMBER(net_sales_clean), ISNUMBER(cost_clean)),
            net_sales_clean - cost_clean,
            ""
        ),
    VALUE(SUBSTITUTE(AA59,"$",""))
)</f>
        <v>56.5765523383835</v>
      </c>
      <c r="AC59">
        <v>4</v>
      </c>
      <c r="AD59">
        <f t="shared" si="10"/>
        <v>4</v>
      </c>
      <c r="AE59">
        <v>5</v>
      </c>
      <c r="AF59">
        <f t="shared" si="11"/>
        <v>5</v>
      </c>
      <c r="AG59">
        <v>0</v>
      </c>
      <c r="AH59">
        <f t="shared" si="12"/>
        <v>0</v>
      </c>
      <c r="AI59" t="str">
        <f t="shared" si="13"/>
        <v>Complete</v>
      </c>
    </row>
    <row r="60" spans="1:35">
      <c r="A60">
        <v>29210</v>
      </c>
      <c r="B60" s="6">
        <v>45981.181354166663</v>
      </c>
      <c r="C60" s="3">
        <f t="shared" si="0"/>
        <v>45981</v>
      </c>
      <c r="D60" s="2">
        <f t="shared" si="1"/>
        <v>0.18135416666336823</v>
      </c>
      <c r="E60">
        <v>62</v>
      </c>
      <c r="F60" t="s">
        <v>8</v>
      </c>
      <c r="G60" t="str">
        <f t="shared" si="2"/>
        <v>West</v>
      </c>
      <c r="H60" t="s">
        <v>3</v>
      </c>
      <c r="I60" t="str">
        <f t="shared" si="3"/>
        <v>Phone</v>
      </c>
      <c r="J60">
        <v>11730</v>
      </c>
      <c r="K60" t="s">
        <v>6</v>
      </c>
      <c r="L60" t="str">
        <f t="shared" si="4"/>
        <v>Corporate</v>
      </c>
      <c r="M60" t="s">
        <v>9</v>
      </c>
      <c r="N60" t="str">
        <f t="shared" si="5"/>
        <v>Home</v>
      </c>
      <c r="O60" t="s">
        <v>12</v>
      </c>
      <c r="P60" t="str">
        <f>IF(LEN(TRIM(Table1[[#This Row],[subcategory]]&amp;""))=0,"Unknown", PROPER(TRIM(Table1[[#This Row],[subcategory]])))</f>
        <v>Decor</v>
      </c>
      <c r="Q60">
        <v>183.12</v>
      </c>
      <c r="R60" s="1">
        <f t="shared" si="6"/>
        <v>183.12</v>
      </c>
      <c r="S60">
        <v>5</v>
      </c>
      <c r="T60">
        <f t="shared" si="7"/>
        <v>5</v>
      </c>
      <c r="U60">
        <v>915.6</v>
      </c>
      <c r="V60" s="1">
        <f t="shared" si="8"/>
        <v>915.6</v>
      </c>
      <c r="W60" s="1">
        <v>628.10159999999996</v>
      </c>
      <c r="X60" s="1">
        <f t="shared" si="9"/>
        <v>628.10159999999996</v>
      </c>
      <c r="Y60" s="5" t="s">
        <v>107</v>
      </c>
      <c r="Z60" s="4" cm="1">
        <f t="array" ref="Z60">IF(
    LEN(TRIM(Y60&amp;""))=0,
        IF(AND(ISNUMBER(net_sales_clean), ISNUMBER(profit_clean)),
            net_sales_clean - profit_clean,
            ""
        ),
    VALUE(SUBSTITUTE(Y60,"$",""))
)</f>
        <v>424.84342229705601</v>
      </c>
      <c r="AA60" s="5" t="s">
        <v>106</v>
      </c>
      <c r="AB60" s="4" cm="1">
        <f t="array" ref="AB60">IF(
    LEN(TRIM(AA60&amp;""))=0,
        IF(AND(ISNUMBER(net_sales_clean), ISNUMBER(cost_clean)),
            net_sales_clean - cost_clean,
            ""
        ),
    VALUE(SUBSTITUTE(AA60,"$",""))
)</f>
        <v>203.25817770294299</v>
      </c>
      <c r="AC60">
        <v>6</v>
      </c>
      <c r="AD60">
        <f t="shared" si="10"/>
        <v>6</v>
      </c>
      <c r="AE60">
        <v>4</v>
      </c>
      <c r="AF60">
        <f t="shared" si="11"/>
        <v>4</v>
      </c>
      <c r="AG60">
        <v>0</v>
      </c>
      <c r="AH60">
        <f t="shared" si="12"/>
        <v>0</v>
      </c>
      <c r="AI60" t="str">
        <f t="shared" si="13"/>
        <v>Complete</v>
      </c>
    </row>
    <row r="61" spans="1:35">
      <c r="A61">
        <v>42188</v>
      </c>
      <c r="B61" s="6">
        <v>45322.616423611114</v>
      </c>
      <c r="C61" s="3">
        <f t="shared" si="0"/>
        <v>45322</v>
      </c>
      <c r="D61" s="2">
        <f t="shared" si="1"/>
        <v>0.61642361111444188</v>
      </c>
      <c r="E61">
        <v>72</v>
      </c>
      <c r="F61" t="s">
        <v>15</v>
      </c>
      <c r="G61" t="str">
        <f t="shared" si="2"/>
        <v>West</v>
      </c>
      <c r="H61" t="s">
        <v>7</v>
      </c>
      <c r="I61" t="str">
        <f t="shared" si="3"/>
        <v>In Store</v>
      </c>
      <c r="J61">
        <v>1449</v>
      </c>
      <c r="K61" t="s">
        <v>6</v>
      </c>
      <c r="L61" t="str">
        <f t="shared" si="4"/>
        <v>Corporate</v>
      </c>
      <c r="M61" t="s">
        <v>1</v>
      </c>
      <c r="N61" t="str">
        <f t="shared" si="5"/>
        <v>Beauty</v>
      </c>
      <c r="O61" t="s">
        <v>38</v>
      </c>
      <c r="P61" t="str">
        <f>IF(LEN(TRIM(Table1[[#This Row],[subcategory]]&amp;""))=0,"Unknown", PROPER(TRIM(Table1[[#This Row],[subcategory]])))</f>
        <v>Fragrance</v>
      </c>
      <c r="Q61">
        <v>102.44</v>
      </c>
      <c r="R61" s="1">
        <f t="shared" si="6"/>
        <v>102.44</v>
      </c>
      <c r="S61">
        <v>4</v>
      </c>
      <c r="T61">
        <f t="shared" si="7"/>
        <v>4</v>
      </c>
      <c r="U61">
        <v>409.76</v>
      </c>
      <c r="V61" s="1">
        <f t="shared" si="8"/>
        <v>409.76</v>
      </c>
      <c r="W61" s="4" t="s">
        <v>105</v>
      </c>
      <c r="X61" s="4">
        <f t="shared" si="9"/>
        <v>222.49967999999899</v>
      </c>
      <c r="Y61" s="5" t="s">
        <v>104</v>
      </c>
      <c r="Z61" s="4" cm="1">
        <f t="array" ref="Z61">IF(
    LEN(TRIM(Y61&amp;""))=0,
        IF(AND(ISNUMBER(net_sales_clean), ISNUMBER(profit_clean)),
            net_sales_clean - profit_clean,
            ""
        ),
    VALUE(SUBSTITUTE(Y61,"$",""))
)</f>
        <v>146.01190441492599</v>
      </c>
      <c r="AA61" s="5" t="s">
        <v>103</v>
      </c>
      <c r="AB61" s="4" cm="1">
        <f t="array" ref="AB61">IF(
    LEN(TRIM(AA61&amp;""))=0,
        IF(AND(ISNUMBER(net_sales_clean), ISNUMBER(cost_clean)),
            net_sales_clean - cost_clean,
            ""
        ),
    VALUE(SUBSTITUTE(AA61,"$",""))
)</f>
        <v>76.487775585072995</v>
      </c>
      <c r="AC61">
        <v>5</v>
      </c>
      <c r="AD61">
        <f t="shared" si="10"/>
        <v>5</v>
      </c>
      <c r="AE61">
        <v>4</v>
      </c>
      <c r="AF61">
        <f t="shared" si="11"/>
        <v>4</v>
      </c>
      <c r="AG61">
        <v>0</v>
      </c>
      <c r="AH61">
        <f t="shared" si="12"/>
        <v>0</v>
      </c>
      <c r="AI61" t="str">
        <f t="shared" si="13"/>
        <v>Complete</v>
      </c>
    </row>
    <row r="62" spans="1:35">
      <c r="A62">
        <v>25387</v>
      </c>
      <c r="B62" s="6">
        <v>45954.663599537038</v>
      </c>
      <c r="C62" s="3">
        <f t="shared" si="0"/>
        <v>45954</v>
      </c>
      <c r="D62" s="2">
        <f t="shared" si="1"/>
        <v>0.66359953703795327</v>
      </c>
      <c r="E62">
        <v>24</v>
      </c>
      <c r="F62" t="s">
        <v>33</v>
      </c>
      <c r="G62" t="str">
        <f t="shared" si="2"/>
        <v>South</v>
      </c>
      <c r="H62" t="s">
        <v>7</v>
      </c>
      <c r="I62" t="str">
        <f t="shared" si="3"/>
        <v>In Store</v>
      </c>
      <c r="J62">
        <v>5271</v>
      </c>
      <c r="K62" t="s">
        <v>2</v>
      </c>
      <c r="L62" t="str">
        <f t="shared" si="4"/>
        <v>Home Office</v>
      </c>
      <c r="M62" t="s">
        <v>16</v>
      </c>
      <c r="N62" t="str">
        <f t="shared" si="5"/>
        <v>Grocery</v>
      </c>
      <c r="O62" t="s">
        <v>24</v>
      </c>
      <c r="P62" t="str">
        <f>IF(LEN(TRIM(Table1[[#This Row],[subcategory]]&amp;""))=0,"Unknown", PROPER(TRIM(Table1[[#This Row],[subcategory]])))</f>
        <v>Snacks</v>
      </c>
      <c r="Q62">
        <v>93.37</v>
      </c>
      <c r="R62" s="1">
        <f t="shared" si="6"/>
        <v>93.37</v>
      </c>
      <c r="S62">
        <v>2</v>
      </c>
      <c r="T62">
        <f t="shared" si="7"/>
        <v>2</v>
      </c>
      <c r="U62">
        <v>186.74</v>
      </c>
      <c r="V62" s="1">
        <f t="shared" si="8"/>
        <v>186.74</v>
      </c>
      <c r="X62" s="1" t="str">
        <f t="shared" si="9"/>
        <v/>
      </c>
      <c r="Z62" s="1" t="str" cm="1">
        <f t="array" ref="Z62">IF(
    LEN(TRIM(Y62&amp;""))=0,
        IF(AND(ISNUMBER(net_sales_clean), ISNUMBER(profit_clean)),
            net_sales_clean - profit_clean,
            ""
        ),
    VALUE(SUBSTITUTE(Y62,"$",""))
)</f>
        <v/>
      </c>
      <c r="AB62" s="1" t="str" cm="1">
        <f t="array" ref="AB62">IF(
    LEN(TRIM(AA62&amp;""))=0,
        IF(AND(ISNUMBER(net_sales_clean), ISNUMBER(cost_clean)),
            net_sales_clean - cost_clean,
            ""
        ),
    VALUE(SUBSTITUTE(AA62,"$",""))
)</f>
        <v/>
      </c>
      <c r="AC62">
        <v>3</v>
      </c>
      <c r="AD62">
        <f t="shared" si="10"/>
        <v>3</v>
      </c>
      <c r="AE62">
        <v>4</v>
      </c>
      <c r="AF62">
        <f t="shared" si="11"/>
        <v>4</v>
      </c>
      <c r="AG62">
        <v>0</v>
      </c>
      <c r="AH62">
        <f t="shared" si="12"/>
        <v>0</v>
      </c>
      <c r="AI62" t="str">
        <f t="shared" si="13"/>
        <v>Incomplete</v>
      </c>
    </row>
    <row r="63" spans="1:35">
      <c r="A63">
        <v>17006</v>
      </c>
      <c r="B63" s="6">
        <v>44943.361793981479</v>
      </c>
      <c r="C63" s="3">
        <f t="shared" si="0"/>
        <v>44943</v>
      </c>
      <c r="D63" s="2">
        <f t="shared" si="1"/>
        <v>0.36179398147942265</v>
      </c>
      <c r="E63">
        <v>33</v>
      </c>
      <c r="F63" t="s">
        <v>13</v>
      </c>
      <c r="G63" t="str">
        <f t="shared" si="2"/>
        <v>Northeast</v>
      </c>
      <c r="H63" t="s">
        <v>3</v>
      </c>
      <c r="I63" t="str">
        <f t="shared" si="3"/>
        <v>Phone</v>
      </c>
      <c r="J63">
        <v>16829</v>
      </c>
      <c r="K63" t="s">
        <v>14</v>
      </c>
      <c r="L63" t="str">
        <f t="shared" si="4"/>
        <v>Consumer</v>
      </c>
      <c r="M63" t="s">
        <v>9</v>
      </c>
      <c r="N63" t="str">
        <f t="shared" si="5"/>
        <v>Home</v>
      </c>
      <c r="O63" t="s">
        <v>12</v>
      </c>
      <c r="P63" t="str">
        <f>IF(LEN(TRIM(Table1[[#This Row],[subcategory]]&amp;""))=0,"Unknown", PROPER(TRIM(Table1[[#This Row],[subcategory]])))</f>
        <v>Decor</v>
      </c>
      <c r="Q63">
        <v>59.84</v>
      </c>
      <c r="R63" s="1">
        <f t="shared" si="6"/>
        <v>59.84</v>
      </c>
      <c r="S63">
        <v>2</v>
      </c>
      <c r="T63">
        <f t="shared" si="7"/>
        <v>2</v>
      </c>
      <c r="U63">
        <v>119.68</v>
      </c>
      <c r="V63" s="1">
        <f t="shared" si="8"/>
        <v>119.68</v>
      </c>
      <c r="W63" s="1">
        <v>87.964799999999997</v>
      </c>
      <c r="X63" s="1">
        <f t="shared" si="9"/>
        <v>87.964799999999997</v>
      </c>
      <c r="Y63">
        <v>72.725178951592795</v>
      </c>
      <c r="Z63" s="1" cm="1">
        <f t="array" ref="Z63">IF(
    LEN(TRIM(Y63&amp;""))=0,
        IF(AND(ISNUMBER(net_sales_clean), ISNUMBER(profit_clean)),
            net_sales_clean - profit_clean,
            ""
        ),
    VALUE(SUBSTITUTE(Y63,"$",""))
)</f>
        <v>72.725178951592795</v>
      </c>
      <c r="AA63" s="5" t="s">
        <v>102</v>
      </c>
      <c r="AB63" s="4" cm="1">
        <f t="array" ref="AB63">IF(
    LEN(TRIM(AA63&amp;""))=0,
        IF(AND(ISNUMBER(net_sales_clean), ISNUMBER(cost_clean)),
            net_sales_clean - cost_clean,
            ""
        ),
    VALUE(SUBSTITUTE(AA63,"$",""))
)</f>
        <v>15.2396210484072</v>
      </c>
      <c r="AC63">
        <v>7</v>
      </c>
      <c r="AD63">
        <f t="shared" si="10"/>
        <v>7</v>
      </c>
      <c r="AE63">
        <v>2</v>
      </c>
      <c r="AF63">
        <f t="shared" si="11"/>
        <v>2</v>
      </c>
      <c r="AH63" t="str">
        <f t="shared" si="12"/>
        <v/>
      </c>
      <c r="AI63" t="str">
        <f t="shared" si="13"/>
        <v>Complete</v>
      </c>
    </row>
    <row r="64" spans="1:35">
      <c r="A64">
        <v>10982</v>
      </c>
      <c r="B64" s="6">
        <v>45079.907789351855</v>
      </c>
      <c r="C64" s="3">
        <f t="shared" si="0"/>
        <v>45079</v>
      </c>
      <c r="D64" s="2">
        <f t="shared" si="1"/>
        <v>0.90778935185517184</v>
      </c>
      <c r="E64">
        <v>68</v>
      </c>
      <c r="F64" t="s">
        <v>8</v>
      </c>
      <c r="G64" t="str">
        <f t="shared" si="2"/>
        <v>West</v>
      </c>
      <c r="H64" t="s">
        <v>7</v>
      </c>
      <c r="I64" t="str">
        <f t="shared" si="3"/>
        <v>In Store</v>
      </c>
      <c r="J64">
        <v>1365</v>
      </c>
      <c r="K64" t="s">
        <v>10</v>
      </c>
      <c r="L64" t="str">
        <f t="shared" si="4"/>
        <v>Consumer</v>
      </c>
      <c r="M64" t="s">
        <v>19</v>
      </c>
      <c r="N64" t="str">
        <f t="shared" si="5"/>
        <v>Apparel</v>
      </c>
      <c r="O64" t="s">
        <v>40</v>
      </c>
      <c r="P64" t="str">
        <f>IF(LEN(TRIM(Table1[[#This Row],[subcategory]]&amp;""))=0,"Unknown", PROPER(TRIM(Table1[[#This Row],[subcategory]])))</f>
        <v>Shoes</v>
      </c>
      <c r="Q64">
        <v>50.89</v>
      </c>
      <c r="R64" s="1">
        <f t="shared" si="6"/>
        <v>50.89</v>
      </c>
      <c r="S64">
        <v>2</v>
      </c>
      <c r="T64">
        <f t="shared" si="7"/>
        <v>2</v>
      </c>
      <c r="U64">
        <v>101.78</v>
      </c>
      <c r="V64" s="1">
        <f t="shared" si="8"/>
        <v>101.78</v>
      </c>
      <c r="W64" s="1">
        <v>75.622540000000001</v>
      </c>
      <c r="X64" s="1">
        <f t="shared" si="9"/>
        <v>75.622540000000001</v>
      </c>
      <c r="Y64" s="5" t="s">
        <v>101</v>
      </c>
      <c r="Z64" s="4" cm="1">
        <f t="array" ref="Z64">IF(
    LEN(TRIM(Y64&amp;""))=0,
        IF(AND(ISNUMBER(net_sales_clean), ISNUMBER(profit_clean)),
            net_sales_clean - profit_clean,
            ""
        ),
    VALUE(SUBSTITUTE(Y64,"$",""))
)</f>
        <v>54.734340786927902</v>
      </c>
      <c r="AA64" s="5" t="s">
        <v>100</v>
      </c>
      <c r="AB64" s="4" cm="1">
        <f t="array" ref="AB64">IF(
    LEN(TRIM(AA64&amp;""))=0,
        IF(AND(ISNUMBER(net_sales_clean), ISNUMBER(cost_clean)),
            net_sales_clean - cost_clean,
            ""
        ),
    VALUE(SUBSTITUTE(AA64,"$",""))
)</f>
        <v>20.888199213071999</v>
      </c>
      <c r="AC64">
        <v>3</v>
      </c>
      <c r="AD64">
        <f t="shared" si="10"/>
        <v>3</v>
      </c>
      <c r="AE64">
        <v>2</v>
      </c>
      <c r="AF64">
        <f t="shared" si="11"/>
        <v>2</v>
      </c>
      <c r="AG64">
        <v>1</v>
      </c>
      <c r="AH64">
        <f t="shared" si="12"/>
        <v>1</v>
      </c>
      <c r="AI64" t="str">
        <f t="shared" si="13"/>
        <v>Complete</v>
      </c>
    </row>
    <row r="65" spans="1:35">
      <c r="A65">
        <v>47314</v>
      </c>
      <c r="B65" s="6">
        <v>45590.156446759262</v>
      </c>
      <c r="C65" s="3">
        <f t="shared" si="0"/>
        <v>45590</v>
      </c>
      <c r="D65" s="2">
        <f t="shared" si="1"/>
        <v>0.15644675926159834</v>
      </c>
      <c r="E65">
        <v>47</v>
      </c>
      <c r="F65" t="s">
        <v>21</v>
      </c>
      <c r="G65" t="str">
        <f t="shared" si="2"/>
        <v>Midwest</v>
      </c>
      <c r="H65" t="s">
        <v>17</v>
      </c>
      <c r="I65" t="str">
        <f t="shared" si="3"/>
        <v>Online</v>
      </c>
      <c r="J65">
        <v>29412</v>
      </c>
      <c r="K65" t="s">
        <v>10</v>
      </c>
      <c r="L65" t="str">
        <f t="shared" si="4"/>
        <v>Consumer</v>
      </c>
      <c r="M65" t="s">
        <v>16</v>
      </c>
      <c r="N65" t="str">
        <f t="shared" si="5"/>
        <v>Grocery</v>
      </c>
      <c r="O65" t="s">
        <v>24</v>
      </c>
      <c r="P65" t="str">
        <f>IF(LEN(TRIM(Table1[[#This Row],[subcategory]]&amp;""))=0,"Unknown", PROPER(TRIM(Table1[[#This Row],[subcategory]])))</f>
        <v>Snacks</v>
      </c>
      <c r="Q65">
        <v>62.58</v>
      </c>
      <c r="R65" s="1">
        <f t="shared" si="6"/>
        <v>62.58</v>
      </c>
      <c r="T65" t="str">
        <f t="shared" si="7"/>
        <v/>
      </c>
      <c r="V65" s="1" t="str">
        <f t="shared" si="8"/>
        <v/>
      </c>
      <c r="X65" s="1" t="str">
        <f t="shared" si="9"/>
        <v/>
      </c>
      <c r="Z65" s="1" t="str" cm="1">
        <f t="array" ref="Z65">IF(
    LEN(TRIM(Y65&amp;""))=0,
        IF(AND(ISNUMBER(net_sales_clean), ISNUMBER(profit_clean)),
            net_sales_clean - profit_clean,
            ""
        ),
    VALUE(SUBSTITUTE(Y65,"$",""))
)</f>
        <v/>
      </c>
      <c r="AB65" s="1" t="str" cm="1">
        <f t="array" ref="AB65">IF(
    LEN(TRIM(AA65&amp;""))=0,
        IF(AND(ISNUMBER(net_sales_clean), ISNUMBER(cost_clean)),
            net_sales_clean - cost_clean,
            ""
        ),
    VALUE(SUBSTITUTE(AA65,"$",""))
)</f>
        <v/>
      </c>
      <c r="AC65">
        <v>4</v>
      </c>
      <c r="AD65">
        <f t="shared" si="10"/>
        <v>4</v>
      </c>
      <c r="AE65">
        <v>5</v>
      </c>
      <c r="AF65">
        <f t="shared" si="11"/>
        <v>5</v>
      </c>
      <c r="AG65">
        <v>0</v>
      </c>
      <c r="AH65">
        <f t="shared" si="12"/>
        <v>0</v>
      </c>
      <c r="AI65" t="str">
        <f t="shared" si="13"/>
        <v>Incomplete</v>
      </c>
    </row>
    <row r="66" spans="1:35">
      <c r="A66">
        <v>27071</v>
      </c>
      <c r="B66" s="6">
        <v>45538.830312500002</v>
      </c>
      <c r="C66" s="3">
        <f t="shared" ref="C66:C101" si="14">INT(B66)</f>
        <v>45538</v>
      </c>
      <c r="D66" s="2">
        <f t="shared" ref="D66:D101" si="15">MOD(B66,1)</f>
        <v>0.83031250000203727</v>
      </c>
      <c r="E66">
        <v>9</v>
      </c>
      <c r="F66" t="s">
        <v>33</v>
      </c>
      <c r="G66" t="str">
        <f t="shared" ref="G66:G101" si="16" xml:space="preserve"> PROPER(TRIM(CLEAN(SUBSTITUTE(F66,CHAR(160)," "))))</f>
        <v>South</v>
      </c>
      <c r="H66" t="s">
        <v>7</v>
      </c>
      <c r="I66" t="str">
        <f t="shared" ref="I66:I101" si="17">PROPER(TRIM(CLEAN((SUBSTITUTE(H66,"-"," ")))))</f>
        <v>In Store</v>
      </c>
      <c r="J66">
        <v>3728</v>
      </c>
      <c r="K66" t="s">
        <v>2</v>
      </c>
      <c r="L66" t="str">
        <f t="shared" ref="L66:L101" si="18" xml:space="preserve"> PROPER(TRIM(CLEAN(SUBSTITUTE(K66,CHAR(160)," "))))</f>
        <v>Home Office</v>
      </c>
      <c r="M66" t="s">
        <v>19</v>
      </c>
      <c r="N66" t="str">
        <f t="shared" ref="N66:N101" si="19" xml:space="preserve"> PROPER(TRIM(CLEAN(SUBSTITUTE(M66,CHAR(160)," "))))</f>
        <v>Apparel</v>
      </c>
      <c r="O66" t="s">
        <v>18</v>
      </c>
      <c r="P66" t="str">
        <f>IF(LEN(TRIM(Table1[[#This Row],[subcategory]]&amp;""))=0,"Unknown", PROPER(TRIM(Table1[[#This Row],[subcategory]])))</f>
        <v>Men</v>
      </c>
      <c r="Q66">
        <v>46.23</v>
      </c>
      <c r="R66" s="1">
        <f t="shared" ref="R66:R101" si="20">IF(LEN(TRIM(Q66&amp;""))=0, "", VALUE(SUBSTITUTE(Q66,"$","")))</f>
        <v>46.23</v>
      </c>
      <c r="S66">
        <v>0</v>
      </c>
      <c r="T66">
        <f t="shared" ref="T66:T101" si="21">IF(LEN(TRIM(S66&amp;""))=0, "", VALUE(S66))</f>
        <v>0</v>
      </c>
      <c r="U66">
        <v>0</v>
      </c>
      <c r="V66" s="1">
        <f t="shared" ref="V66:V101" si="22">IF(LEN(TRIM(U66&amp;""))=0, "", VALUE(SUBSTITUTE(U66,"$","")))</f>
        <v>0</v>
      </c>
      <c r="W66" s="1">
        <v>0</v>
      </c>
      <c r="X66" s="1">
        <f t="shared" ref="X66:X101" si="23">IF(LEN(TRIM(W66&amp;""))=0, "", VALUE(SUBSTITUTE(W66,"$","")))</f>
        <v>0</v>
      </c>
      <c r="Y66">
        <v>0</v>
      </c>
      <c r="Z66" s="1" cm="1">
        <f t="array" ref="Z66">IF(
    LEN(TRIM(Y66&amp;""))=0,
        IF(AND(ISNUMBER(net_sales_clean), ISNUMBER(profit_clean)),
            net_sales_clean - profit_clean,
            ""
        ),
    VALUE(SUBSTITUTE(Y66,"$",""))
)</f>
        <v>0</v>
      </c>
      <c r="AA66">
        <v>0</v>
      </c>
      <c r="AB66" s="1" cm="1">
        <f t="array" ref="AB66">IF(
    LEN(TRIM(AA66&amp;""))=0,
        IF(AND(ISNUMBER(net_sales_clean), ISNUMBER(cost_clean)),
            net_sales_clean - cost_clean,
            ""
        ),
    VALUE(SUBSTITUTE(AA66,"$",""))
)</f>
        <v>0</v>
      </c>
      <c r="AC66">
        <v>4</v>
      </c>
      <c r="AD66">
        <f t="shared" ref="AD66:AD101" si="24">IF(LEN(TRIM(AC66&amp;""))=0, "", VALUE(AC66))</f>
        <v>4</v>
      </c>
      <c r="AE66">
        <v>3</v>
      </c>
      <c r="AF66">
        <f t="shared" ref="AF66:AF101" si="25">IF(LEN(TRIM(AE66&amp;""))=0, "", VALUE(AE66))</f>
        <v>3</v>
      </c>
      <c r="AG66">
        <v>0</v>
      </c>
      <c r="AH66">
        <f t="shared" ref="AH66:AH101" si="26">IF(
    OR(U66&lt;0, W66&lt;0, Y66&lt;0, AA66&lt;0),
        1,
        IF(LEN(TRIM(AG66&amp;""))=0, "", AG66)
)</f>
        <v>0</v>
      </c>
      <c r="AI66" t="str">
        <f t="shared" ref="AI66:AI101" si="27">IF(
    COUNT(Q66,V66,X66,Z66,AB66)=0,
        "Not Usable",
    IF(
        COUNT(Q66,V66,X66,Z66,AB66)&lt;5,
            "Incomplete",
            IF(
                MIN(Q66,V66,X66,Z66,AB66)=0,
                    "Incomplete",
                    "Complete"
            )
    )
)</f>
        <v>Incomplete</v>
      </c>
    </row>
    <row r="67" spans="1:35">
      <c r="A67">
        <v>6686</v>
      </c>
      <c r="B67" s="6">
        <v>45501.874155092592</v>
      </c>
      <c r="C67" s="3">
        <f t="shared" si="14"/>
        <v>45501</v>
      </c>
      <c r="D67" s="2">
        <f t="shared" si="15"/>
        <v>0.87415509259153623</v>
      </c>
      <c r="E67">
        <v>26</v>
      </c>
      <c r="F67" t="s">
        <v>21</v>
      </c>
      <c r="G67" t="str">
        <f t="shared" si="16"/>
        <v>Midwest</v>
      </c>
      <c r="H67" t="s">
        <v>17</v>
      </c>
      <c r="I67" t="str">
        <f t="shared" si="17"/>
        <v>Online</v>
      </c>
      <c r="J67">
        <v>19575</v>
      </c>
      <c r="K67" t="s">
        <v>10</v>
      </c>
      <c r="L67" t="str">
        <f t="shared" si="18"/>
        <v>Consumer</v>
      </c>
      <c r="M67" t="s">
        <v>23</v>
      </c>
      <c r="N67" t="str">
        <f t="shared" si="19"/>
        <v>Electronics</v>
      </c>
      <c r="O67" t="s">
        <v>34</v>
      </c>
      <c r="P67" t="str">
        <f>IF(LEN(TRIM(Table1[[#This Row],[subcategory]]&amp;""))=0,"Unknown", PROPER(TRIM(Table1[[#This Row],[subcategory]])))</f>
        <v>Phones</v>
      </c>
      <c r="Q67">
        <v>40.9</v>
      </c>
      <c r="R67" s="1">
        <f t="shared" si="20"/>
        <v>40.9</v>
      </c>
      <c r="S67">
        <v>2</v>
      </c>
      <c r="T67">
        <f t="shared" si="21"/>
        <v>2</v>
      </c>
      <c r="U67">
        <v>81.8</v>
      </c>
      <c r="V67" s="1">
        <f t="shared" si="22"/>
        <v>81.8</v>
      </c>
      <c r="W67" s="1">
        <v>70.020799999999994</v>
      </c>
      <c r="X67" s="1">
        <f t="shared" si="23"/>
        <v>70.020799999999994</v>
      </c>
      <c r="Y67">
        <v>54.908055008638499</v>
      </c>
      <c r="Z67" s="1" cm="1">
        <f t="array" ref="Z67">IF(
    LEN(TRIM(Y67&amp;""))=0,
        IF(AND(ISNUMBER(net_sales_clean), ISNUMBER(profit_clean)),
            net_sales_clean - profit_clean,
            ""
        ),
    VALUE(SUBSTITUTE(Y67,"$",""))
)</f>
        <v>54.908055008638499</v>
      </c>
      <c r="AA67" s="5" t="s">
        <v>99</v>
      </c>
      <c r="AB67" s="4" cm="1">
        <f t="array" ref="AB67">IF(
    LEN(TRIM(AA67&amp;""))=0,
        IF(AND(ISNUMBER(net_sales_clean), ISNUMBER(cost_clean)),
            net_sales_clean - cost_clean,
            ""
        ),
    VALUE(SUBSTITUTE(AA67,"$",""))
)</f>
        <v>15.112744991361399</v>
      </c>
      <c r="AC67">
        <v>2</v>
      </c>
      <c r="AD67">
        <f t="shared" si="24"/>
        <v>2</v>
      </c>
      <c r="AE67">
        <v>1</v>
      </c>
      <c r="AF67">
        <f t="shared" si="25"/>
        <v>1</v>
      </c>
      <c r="AG67">
        <v>0</v>
      </c>
      <c r="AH67">
        <f t="shared" si="26"/>
        <v>0</v>
      </c>
      <c r="AI67" t="str">
        <f t="shared" si="27"/>
        <v>Complete</v>
      </c>
    </row>
    <row r="68" spans="1:35">
      <c r="A68">
        <v>54961</v>
      </c>
      <c r="B68" s="6">
        <v>44940.950092592589</v>
      </c>
      <c r="C68" s="3">
        <f t="shared" si="14"/>
        <v>44940</v>
      </c>
      <c r="D68" s="2">
        <f t="shared" si="15"/>
        <v>0.95009259258949896</v>
      </c>
      <c r="E68">
        <v>53</v>
      </c>
      <c r="F68" t="s">
        <v>33</v>
      </c>
      <c r="G68" t="str">
        <f t="shared" si="16"/>
        <v>South</v>
      </c>
      <c r="H68" t="s">
        <v>27</v>
      </c>
      <c r="I68" t="str">
        <f t="shared" si="17"/>
        <v>In Store</v>
      </c>
      <c r="J68">
        <v>15682</v>
      </c>
      <c r="K68" t="s">
        <v>6</v>
      </c>
      <c r="L68" t="str">
        <f t="shared" si="18"/>
        <v>Corporate</v>
      </c>
      <c r="M68" t="s">
        <v>23</v>
      </c>
      <c r="N68" t="str">
        <f t="shared" si="19"/>
        <v>Electronics</v>
      </c>
      <c r="O68" t="s">
        <v>34</v>
      </c>
      <c r="P68" t="str">
        <f>IF(LEN(TRIM(Table1[[#This Row],[subcategory]]&amp;""))=0,"Unknown", PROPER(TRIM(Table1[[#This Row],[subcategory]])))</f>
        <v>Phones</v>
      </c>
      <c r="Q68">
        <v>54.67</v>
      </c>
      <c r="R68" s="1">
        <f t="shared" si="20"/>
        <v>54.67</v>
      </c>
      <c r="S68">
        <v>1</v>
      </c>
      <c r="T68">
        <f t="shared" si="21"/>
        <v>1</v>
      </c>
      <c r="U68">
        <v>54.67</v>
      </c>
      <c r="V68" s="1">
        <f t="shared" si="22"/>
        <v>54.67</v>
      </c>
      <c r="W68" s="4" t="s">
        <v>98</v>
      </c>
      <c r="X68" s="4">
        <f t="shared" si="23"/>
        <v>50.023049999999998</v>
      </c>
      <c r="Z68" s="1" t="str" cm="1">
        <f t="array" ref="Z68">IF(
    LEN(TRIM(Y68&amp;""))=0,
        IF(AND(ISNUMBER(net_sales_clean), ISNUMBER(profit_clean)),
            net_sales_clean - profit_clean,
            ""
        ),
    VALUE(SUBSTITUTE(Y68,"$",""))
)</f>
        <v/>
      </c>
      <c r="AB68" s="1" t="str" cm="1">
        <f t="array" ref="AB68">IF(
    LEN(TRIM(AA68&amp;""))=0,
        IF(AND(ISNUMBER(net_sales_clean), ISNUMBER(cost_clean)),
            net_sales_clean - cost_clean,
            ""
        ),
    VALUE(SUBSTITUTE(AA68,"$",""))
)</f>
        <v/>
      </c>
      <c r="AC68">
        <v>4</v>
      </c>
      <c r="AD68">
        <f t="shared" si="24"/>
        <v>4</v>
      </c>
      <c r="AE68">
        <v>4</v>
      </c>
      <c r="AF68">
        <f t="shared" si="25"/>
        <v>4</v>
      </c>
      <c r="AG68">
        <v>0</v>
      </c>
      <c r="AH68">
        <f t="shared" si="26"/>
        <v>0</v>
      </c>
      <c r="AI68" t="str">
        <f t="shared" si="27"/>
        <v>Incomplete</v>
      </c>
    </row>
    <row r="69" spans="1:35">
      <c r="A69">
        <v>58126</v>
      </c>
      <c r="B69" s="6">
        <v>45232.87462962963</v>
      </c>
      <c r="C69" s="3">
        <f t="shared" si="14"/>
        <v>45232</v>
      </c>
      <c r="D69" s="2">
        <f t="shared" si="15"/>
        <v>0.87462962963036261</v>
      </c>
      <c r="E69">
        <v>64</v>
      </c>
      <c r="F69" t="s">
        <v>15</v>
      </c>
      <c r="G69" t="str">
        <f t="shared" si="16"/>
        <v>West</v>
      </c>
      <c r="H69" t="s">
        <v>11</v>
      </c>
      <c r="I69" t="str">
        <f t="shared" si="17"/>
        <v>Online</v>
      </c>
      <c r="J69">
        <v>12230</v>
      </c>
      <c r="K69" t="s">
        <v>14</v>
      </c>
      <c r="L69" t="str">
        <f t="shared" si="18"/>
        <v>Consumer</v>
      </c>
      <c r="M69" t="s">
        <v>16</v>
      </c>
      <c r="N69" t="str">
        <f t="shared" si="19"/>
        <v>Grocery</v>
      </c>
      <c r="O69" t="s">
        <v>36</v>
      </c>
      <c r="P69" t="str">
        <f>IF(LEN(TRIM(Table1[[#This Row],[subcategory]]&amp;""))=0,"Unknown", PROPER(TRIM(Table1[[#This Row],[subcategory]])))</f>
        <v>Produce</v>
      </c>
      <c r="Q69">
        <v>74.44</v>
      </c>
      <c r="R69" s="1">
        <f t="shared" si="20"/>
        <v>74.44</v>
      </c>
      <c r="S69">
        <v>4</v>
      </c>
      <c r="T69">
        <f t="shared" si="21"/>
        <v>4</v>
      </c>
      <c r="U69">
        <v>297.76</v>
      </c>
      <c r="V69" s="1">
        <f t="shared" si="22"/>
        <v>297.76</v>
      </c>
      <c r="W69" s="1">
        <v>227.48864</v>
      </c>
      <c r="X69" s="1">
        <f t="shared" si="23"/>
        <v>227.48864</v>
      </c>
      <c r="Y69" s="5" t="s">
        <v>97</v>
      </c>
      <c r="Z69" s="4" cm="1">
        <f t="array" ref="Z69">IF(
    LEN(TRIM(Y69&amp;""))=0,
        IF(AND(ISNUMBER(net_sales_clean), ISNUMBER(profit_clean)),
            net_sales_clean - profit_clean,
            ""
        ),
    VALUE(SUBSTITUTE(Y69,"$",""))
)</f>
        <v>180.972520878615</v>
      </c>
      <c r="AA69" s="5" t="s">
        <v>96</v>
      </c>
      <c r="AB69" s="4" cm="1">
        <f t="array" ref="AB69">IF(
    LEN(TRIM(AA69&amp;""))=0,
        IF(AND(ISNUMBER(net_sales_clean), ISNUMBER(cost_clean)),
            net_sales_clean - cost_clean,
            ""
        ),
    VALUE(SUBSTITUTE(AA69,"$",""))
)</f>
        <v>46.5161191213842</v>
      </c>
      <c r="AC69">
        <v>1</v>
      </c>
      <c r="AD69">
        <f t="shared" si="24"/>
        <v>1</v>
      </c>
      <c r="AE69">
        <v>3</v>
      </c>
      <c r="AF69">
        <f t="shared" si="25"/>
        <v>3</v>
      </c>
      <c r="AG69">
        <v>0</v>
      </c>
      <c r="AH69">
        <f t="shared" si="26"/>
        <v>0</v>
      </c>
      <c r="AI69" t="str">
        <f t="shared" si="27"/>
        <v>Complete</v>
      </c>
    </row>
    <row r="70" spans="1:35">
      <c r="A70">
        <v>40701</v>
      </c>
      <c r="B70" s="6">
        <v>45906.656875000001</v>
      </c>
      <c r="C70" s="3">
        <f t="shared" si="14"/>
        <v>45906</v>
      </c>
      <c r="D70" s="2">
        <f t="shared" si="15"/>
        <v>0.65687500000058208</v>
      </c>
      <c r="E70">
        <v>65</v>
      </c>
      <c r="F70" t="s">
        <v>15</v>
      </c>
      <c r="G70" t="str">
        <f t="shared" si="16"/>
        <v>West</v>
      </c>
      <c r="H70" t="s">
        <v>30</v>
      </c>
      <c r="I70" t="str">
        <f t="shared" si="17"/>
        <v>Mobile App</v>
      </c>
      <c r="J70">
        <v>25511</v>
      </c>
      <c r="K70" t="s">
        <v>10</v>
      </c>
      <c r="L70" t="str">
        <f t="shared" si="18"/>
        <v>Consumer</v>
      </c>
      <c r="M70" t="s">
        <v>16</v>
      </c>
      <c r="N70" t="str">
        <f t="shared" si="19"/>
        <v>Grocery</v>
      </c>
      <c r="P70" t="str">
        <f>IF(LEN(TRIM(Table1[[#This Row],[subcategory]]&amp;""))=0,"Unknown", PROPER(TRIM(Table1[[#This Row],[subcategory]])))</f>
        <v>Unknown</v>
      </c>
      <c r="Q70">
        <v>125.97</v>
      </c>
      <c r="R70" s="1">
        <f t="shared" si="20"/>
        <v>125.97</v>
      </c>
      <c r="S70">
        <v>7</v>
      </c>
      <c r="T70">
        <f t="shared" si="21"/>
        <v>7</v>
      </c>
      <c r="U70">
        <v>881.79</v>
      </c>
      <c r="V70" s="1">
        <f t="shared" si="22"/>
        <v>881.79</v>
      </c>
      <c r="W70" s="4" t="s">
        <v>95</v>
      </c>
      <c r="X70" s="4">
        <f t="shared" si="23"/>
        <v>740.70359999999903</v>
      </c>
      <c r="Y70" s="5" t="s">
        <v>94</v>
      </c>
      <c r="Z70" s="4" cm="1">
        <f t="array" ref="Z70">IF(
    LEN(TRIM(Y70&amp;""))=0,
        IF(AND(ISNUMBER(net_sales_clean), ISNUMBER(profit_clean)),
            net_sales_clean - profit_clean,
            ""
        ),
    VALUE(SUBSTITUTE(Y70,"$",""))
)</f>
        <v>621.91717134414</v>
      </c>
      <c r="AA70" s="5" t="s">
        <v>93</v>
      </c>
      <c r="AB70" s="4" cm="1">
        <f t="array" ref="AB70">IF(
    LEN(TRIM(AA70&amp;""))=0,
        IF(AND(ISNUMBER(net_sales_clean), ISNUMBER(cost_clean)),
            net_sales_clean - cost_clean,
            ""
        ),
    VALUE(SUBSTITUTE(AA70,"$",""))
)</f>
        <v>118.786428655859</v>
      </c>
      <c r="AC70">
        <v>2</v>
      </c>
      <c r="AD70">
        <f t="shared" si="24"/>
        <v>2</v>
      </c>
      <c r="AE70">
        <v>4</v>
      </c>
      <c r="AF70">
        <f t="shared" si="25"/>
        <v>4</v>
      </c>
      <c r="AG70">
        <v>0</v>
      </c>
      <c r="AH70">
        <f t="shared" si="26"/>
        <v>0</v>
      </c>
      <c r="AI70" t="str">
        <f t="shared" si="27"/>
        <v>Complete</v>
      </c>
    </row>
    <row r="71" spans="1:35">
      <c r="A71">
        <v>13903</v>
      </c>
      <c r="B71" s="6">
        <v>45484.833182870374</v>
      </c>
      <c r="C71" s="3">
        <f t="shared" si="14"/>
        <v>45484</v>
      </c>
      <c r="D71" s="2">
        <f t="shared" si="15"/>
        <v>0.83318287037400296</v>
      </c>
      <c r="E71">
        <v>11</v>
      </c>
      <c r="F71" t="s">
        <v>8</v>
      </c>
      <c r="G71" t="str">
        <f t="shared" si="16"/>
        <v>West</v>
      </c>
      <c r="H71" t="s">
        <v>3</v>
      </c>
      <c r="I71" t="str">
        <f t="shared" si="17"/>
        <v>Phone</v>
      </c>
      <c r="J71">
        <v>2819</v>
      </c>
      <c r="K71" t="s">
        <v>2</v>
      </c>
      <c r="L71" t="str">
        <f t="shared" si="18"/>
        <v>Home Office</v>
      </c>
      <c r="M71" t="s">
        <v>23</v>
      </c>
      <c r="N71" t="str">
        <f t="shared" si="19"/>
        <v>Electronics</v>
      </c>
      <c r="O71" t="s">
        <v>39</v>
      </c>
      <c r="P71" t="str">
        <f>IF(LEN(TRIM(Table1[[#This Row],[subcategory]]&amp;""))=0,"Unknown", PROPER(TRIM(Table1[[#This Row],[subcategory]])))</f>
        <v>Accessories</v>
      </c>
      <c r="Q71">
        <v>128.58000000000001</v>
      </c>
      <c r="R71" s="1">
        <f t="shared" si="20"/>
        <v>128.58000000000001</v>
      </c>
      <c r="S71">
        <v>0</v>
      </c>
      <c r="T71">
        <f t="shared" si="21"/>
        <v>0</v>
      </c>
      <c r="U71">
        <v>0</v>
      </c>
      <c r="V71" s="1">
        <f t="shared" si="22"/>
        <v>0</v>
      </c>
      <c r="W71" s="1">
        <v>0</v>
      </c>
      <c r="X71" s="1">
        <f t="shared" si="23"/>
        <v>0</v>
      </c>
      <c r="Y71">
        <v>0</v>
      </c>
      <c r="Z71" s="1" cm="1">
        <f t="array" ref="Z71">IF(
    LEN(TRIM(Y71&amp;""))=0,
        IF(AND(ISNUMBER(net_sales_clean), ISNUMBER(profit_clean)),
            net_sales_clean - profit_clean,
            ""
        ),
    VALUE(SUBSTITUTE(Y71,"$",""))
)</f>
        <v>0</v>
      </c>
      <c r="AA71">
        <v>0</v>
      </c>
      <c r="AB71" s="1" cm="1">
        <f t="array" ref="AB71">IF(
    LEN(TRIM(AA71&amp;""))=0,
        IF(AND(ISNUMBER(net_sales_clean), ISNUMBER(cost_clean)),
            net_sales_clean - cost_clean,
            ""
        ),
    VALUE(SUBSTITUTE(AA71,"$",""))
)</f>
        <v>0</v>
      </c>
      <c r="AC71">
        <v>3</v>
      </c>
      <c r="AD71">
        <f t="shared" si="24"/>
        <v>3</v>
      </c>
      <c r="AE71">
        <v>4</v>
      </c>
      <c r="AF71">
        <f t="shared" si="25"/>
        <v>4</v>
      </c>
      <c r="AG71">
        <v>1</v>
      </c>
      <c r="AH71">
        <f t="shared" si="26"/>
        <v>1</v>
      </c>
      <c r="AI71" t="str">
        <f t="shared" si="27"/>
        <v>Incomplete</v>
      </c>
    </row>
    <row r="72" spans="1:35">
      <c r="A72">
        <v>31540</v>
      </c>
      <c r="B72" s="6">
        <v>45517.30945601852</v>
      </c>
      <c r="C72" s="3">
        <f t="shared" si="14"/>
        <v>45517</v>
      </c>
      <c r="D72" s="2">
        <f t="shared" si="15"/>
        <v>0.30945601851999527</v>
      </c>
      <c r="E72">
        <v>60</v>
      </c>
      <c r="F72" t="s">
        <v>15</v>
      </c>
      <c r="G72" t="str">
        <f t="shared" si="16"/>
        <v>West</v>
      </c>
      <c r="H72" t="s">
        <v>7</v>
      </c>
      <c r="I72" t="str">
        <f t="shared" si="17"/>
        <v>In Store</v>
      </c>
      <c r="J72">
        <v>20375</v>
      </c>
      <c r="K72" t="s">
        <v>14</v>
      </c>
      <c r="L72" t="str">
        <f t="shared" si="18"/>
        <v>Consumer</v>
      </c>
      <c r="M72" t="s">
        <v>19</v>
      </c>
      <c r="N72" t="str">
        <f t="shared" si="19"/>
        <v>Apparel</v>
      </c>
      <c r="O72" t="s">
        <v>40</v>
      </c>
      <c r="P72" t="str">
        <f>IF(LEN(TRIM(Table1[[#This Row],[subcategory]]&amp;""))=0,"Unknown", PROPER(TRIM(Table1[[#This Row],[subcategory]])))</f>
        <v>Shoes</v>
      </c>
      <c r="Q72">
        <v>62.24</v>
      </c>
      <c r="R72" s="1">
        <f t="shared" si="20"/>
        <v>62.24</v>
      </c>
      <c r="S72">
        <v>3</v>
      </c>
      <c r="T72">
        <f t="shared" si="21"/>
        <v>3</v>
      </c>
      <c r="U72">
        <v>186.72</v>
      </c>
      <c r="V72" s="1">
        <f t="shared" si="22"/>
        <v>186.72</v>
      </c>
      <c r="W72" s="1">
        <v>118.19376</v>
      </c>
      <c r="X72" s="1">
        <f t="shared" si="23"/>
        <v>118.19376</v>
      </c>
      <c r="Y72">
        <v>89.377510894278103</v>
      </c>
      <c r="Z72" s="1" cm="1">
        <f t="array" ref="Z72">IF(
    LEN(TRIM(Y72&amp;""))=0,
        IF(AND(ISNUMBER(net_sales_clean), ISNUMBER(profit_clean)),
            net_sales_clean - profit_clean,
            ""
        ),
    VALUE(SUBSTITUTE(Y72,"$",""))
)</f>
        <v>89.377510894278103</v>
      </c>
      <c r="AA72" s="5" t="s">
        <v>92</v>
      </c>
      <c r="AB72" s="4" cm="1">
        <f t="array" ref="AB72">IF(
    LEN(TRIM(AA72&amp;""))=0,
        IF(AND(ISNUMBER(net_sales_clean), ISNUMBER(cost_clean)),
            net_sales_clean - cost_clean,
            ""
        ),
    VALUE(SUBSTITUTE(AA72,"$",""))
)</f>
        <v>28.816249105721798</v>
      </c>
      <c r="AC72">
        <v>4</v>
      </c>
      <c r="AD72">
        <f t="shared" si="24"/>
        <v>4</v>
      </c>
      <c r="AE72">
        <v>1</v>
      </c>
      <c r="AF72">
        <f t="shared" si="25"/>
        <v>1</v>
      </c>
      <c r="AG72">
        <v>0</v>
      </c>
      <c r="AH72">
        <f t="shared" si="26"/>
        <v>0</v>
      </c>
      <c r="AI72" t="str">
        <f t="shared" si="27"/>
        <v>Complete</v>
      </c>
    </row>
    <row r="73" spans="1:35">
      <c r="A73">
        <v>49717</v>
      </c>
      <c r="B73" s="6">
        <v>45415.186111111114</v>
      </c>
      <c r="C73" s="3">
        <f t="shared" si="14"/>
        <v>45415</v>
      </c>
      <c r="D73" s="2">
        <f t="shared" si="15"/>
        <v>0.18611111111385981</v>
      </c>
      <c r="E73">
        <v>7</v>
      </c>
      <c r="F73" t="s">
        <v>21</v>
      </c>
      <c r="G73" t="str">
        <f t="shared" si="16"/>
        <v>Midwest</v>
      </c>
      <c r="H73" t="s">
        <v>3</v>
      </c>
      <c r="I73" t="str">
        <f t="shared" si="17"/>
        <v>Phone</v>
      </c>
      <c r="J73">
        <v>28873</v>
      </c>
      <c r="K73" t="s">
        <v>6</v>
      </c>
      <c r="L73" t="str">
        <f t="shared" si="18"/>
        <v>Corporate</v>
      </c>
      <c r="M73" t="s">
        <v>19</v>
      </c>
      <c r="N73" t="str">
        <f t="shared" si="19"/>
        <v>Apparel</v>
      </c>
      <c r="O73" t="s">
        <v>26</v>
      </c>
      <c r="P73" t="str">
        <f>IF(LEN(TRIM(Table1[[#This Row],[subcategory]]&amp;""))=0,"Unknown", PROPER(TRIM(Table1[[#This Row],[subcategory]])))</f>
        <v>Kids</v>
      </c>
      <c r="Q73">
        <v>126.61</v>
      </c>
      <c r="R73" s="1">
        <f t="shared" si="20"/>
        <v>126.61</v>
      </c>
      <c r="S73">
        <v>1</v>
      </c>
      <c r="T73">
        <f t="shared" si="21"/>
        <v>1</v>
      </c>
      <c r="U73">
        <v>126.61</v>
      </c>
      <c r="V73" s="1">
        <f t="shared" si="22"/>
        <v>126.61</v>
      </c>
      <c r="W73" s="1">
        <v>107.74511</v>
      </c>
      <c r="X73" s="1">
        <f t="shared" si="23"/>
        <v>107.74511</v>
      </c>
      <c r="Y73" s="5" t="s">
        <v>91</v>
      </c>
      <c r="Z73" s="4" cm="1">
        <f t="array" ref="Z73">IF(
    LEN(TRIM(Y73&amp;""))=0,
        IF(AND(ISNUMBER(net_sales_clean), ISNUMBER(profit_clean)),
            net_sales_clean - profit_clean,
            ""
        ),
    VALUE(SUBSTITUTE(Y73,"$",""))
)</f>
        <v>80.242159838750695</v>
      </c>
      <c r="AA73" s="5" t="s">
        <v>90</v>
      </c>
      <c r="AB73" s="4" cm="1">
        <f t="array" ref="AB73">IF(
    LEN(TRIM(AA73&amp;""))=0,
        IF(AND(ISNUMBER(net_sales_clean), ISNUMBER(cost_clean)),
            net_sales_clean - cost_clean,
            ""
        ),
    VALUE(SUBSTITUTE(AA73,"$",""))
)</f>
        <v>27.502950161249199</v>
      </c>
      <c r="AC73">
        <v>9</v>
      </c>
      <c r="AD73">
        <f t="shared" si="24"/>
        <v>9</v>
      </c>
      <c r="AE73">
        <v>1</v>
      </c>
      <c r="AF73">
        <f t="shared" si="25"/>
        <v>1</v>
      </c>
      <c r="AG73">
        <v>0</v>
      </c>
      <c r="AH73">
        <f t="shared" si="26"/>
        <v>0</v>
      </c>
      <c r="AI73" t="str">
        <f t="shared" si="27"/>
        <v>Complete</v>
      </c>
    </row>
    <row r="74" spans="1:35">
      <c r="A74">
        <v>49520</v>
      </c>
      <c r="B74" s="6">
        <v>45651.887361111112</v>
      </c>
      <c r="C74" s="3">
        <f t="shared" si="14"/>
        <v>45651</v>
      </c>
      <c r="D74" s="2">
        <f t="shared" si="15"/>
        <v>0.88736111111211358</v>
      </c>
      <c r="E74">
        <v>55</v>
      </c>
      <c r="F74" t="s">
        <v>15</v>
      </c>
      <c r="G74" t="str">
        <f t="shared" si="16"/>
        <v>West</v>
      </c>
      <c r="H74" t="s">
        <v>27</v>
      </c>
      <c r="I74" t="str">
        <f t="shared" si="17"/>
        <v>In Store</v>
      </c>
      <c r="J74">
        <v>911</v>
      </c>
      <c r="K74" t="s">
        <v>14</v>
      </c>
      <c r="L74" t="str">
        <f t="shared" si="18"/>
        <v>Consumer</v>
      </c>
      <c r="M74" t="s">
        <v>23</v>
      </c>
      <c r="N74" t="str">
        <f t="shared" si="19"/>
        <v>Electronics</v>
      </c>
      <c r="O74" t="s">
        <v>34</v>
      </c>
      <c r="P74" t="str">
        <f>IF(LEN(TRIM(Table1[[#This Row],[subcategory]]&amp;""))=0,"Unknown", PROPER(TRIM(Table1[[#This Row],[subcategory]])))</f>
        <v>Phones</v>
      </c>
      <c r="Q74">
        <v>39.409999999999997</v>
      </c>
      <c r="R74" s="1">
        <f t="shared" si="20"/>
        <v>39.409999999999997</v>
      </c>
      <c r="S74">
        <v>4</v>
      </c>
      <c r="T74">
        <f t="shared" si="21"/>
        <v>4</v>
      </c>
      <c r="U74">
        <v>157.63999999999999</v>
      </c>
      <c r="V74" s="1">
        <f t="shared" si="22"/>
        <v>157.63999999999999</v>
      </c>
      <c r="W74" s="1">
        <v>119.49112</v>
      </c>
      <c r="X74" s="1">
        <f t="shared" si="23"/>
        <v>119.49112</v>
      </c>
      <c r="Y74" s="5" t="s">
        <v>89</v>
      </c>
      <c r="Z74" s="4" cm="1">
        <f t="array" ref="Z74">IF(
    LEN(TRIM(Y74&amp;""))=0,
        IF(AND(ISNUMBER(net_sales_clean), ISNUMBER(profit_clean)),
            net_sales_clean - profit_clean,
            ""
        ),
    VALUE(SUBSTITUTE(Y74,"$",""))
)</f>
        <v>95.675719782570994</v>
      </c>
      <c r="AA74" s="5" t="s">
        <v>88</v>
      </c>
      <c r="AB74" s="4" cm="1">
        <f t="array" ref="AB74">IF(
    LEN(TRIM(AA74&amp;""))=0,
        IF(AND(ISNUMBER(net_sales_clean), ISNUMBER(cost_clean)),
            net_sales_clean - cost_clean,
            ""
        ),
    VALUE(SUBSTITUTE(AA74,"$",""))
)</f>
        <v>23.815400217428898</v>
      </c>
      <c r="AC74">
        <v>7</v>
      </c>
      <c r="AD74">
        <f t="shared" si="24"/>
        <v>7</v>
      </c>
      <c r="AE74">
        <v>1</v>
      </c>
      <c r="AF74">
        <f t="shared" si="25"/>
        <v>1</v>
      </c>
      <c r="AG74">
        <v>0</v>
      </c>
      <c r="AH74">
        <f t="shared" si="26"/>
        <v>0</v>
      </c>
      <c r="AI74" t="str">
        <f t="shared" si="27"/>
        <v>Complete</v>
      </c>
    </row>
    <row r="75" spans="1:35">
      <c r="A75">
        <v>51924</v>
      </c>
      <c r="B75" s="6">
        <v>45931.089247685188</v>
      </c>
      <c r="C75" s="3">
        <f t="shared" si="14"/>
        <v>45931</v>
      </c>
      <c r="D75" s="2">
        <f t="shared" si="15"/>
        <v>8.9247685187729076E-2</v>
      </c>
      <c r="E75">
        <v>18</v>
      </c>
      <c r="F75" t="s">
        <v>13</v>
      </c>
      <c r="G75" t="str">
        <f t="shared" si="16"/>
        <v>Northeast</v>
      </c>
      <c r="H75" t="s">
        <v>27</v>
      </c>
      <c r="I75" t="str">
        <f t="shared" si="17"/>
        <v>In Store</v>
      </c>
      <c r="J75">
        <v>18062</v>
      </c>
      <c r="K75" t="s">
        <v>14</v>
      </c>
      <c r="L75" t="str">
        <f t="shared" si="18"/>
        <v>Consumer</v>
      </c>
      <c r="M75" t="s">
        <v>16</v>
      </c>
      <c r="N75" t="str">
        <f t="shared" si="19"/>
        <v>Grocery</v>
      </c>
      <c r="O75" t="s">
        <v>24</v>
      </c>
      <c r="P75" t="str">
        <f>IF(LEN(TRIM(Table1[[#This Row],[subcategory]]&amp;""))=0,"Unknown", PROPER(TRIM(Table1[[#This Row],[subcategory]])))</f>
        <v>Snacks</v>
      </c>
      <c r="Q75">
        <v>85.89</v>
      </c>
      <c r="R75" s="1">
        <f t="shared" si="20"/>
        <v>85.89</v>
      </c>
      <c r="S75">
        <v>3</v>
      </c>
      <c r="T75">
        <f t="shared" si="21"/>
        <v>3</v>
      </c>
      <c r="U75">
        <v>257.67</v>
      </c>
      <c r="V75" s="1">
        <f t="shared" si="22"/>
        <v>257.67</v>
      </c>
      <c r="W75" s="1">
        <v>187.06842</v>
      </c>
      <c r="X75" s="1">
        <f t="shared" si="23"/>
        <v>187.06842</v>
      </c>
      <c r="Y75" s="5" t="s">
        <v>87</v>
      </c>
      <c r="Z75" s="4" cm="1">
        <f t="array" ref="Z75">IF(
    LEN(TRIM(Y75&amp;""))=0,
        IF(AND(ISNUMBER(net_sales_clean), ISNUMBER(profit_clean)),
            net_sales_clean - profit_clean,
            ""
        ),
    VALUE(SUBSTITUTE(Y75,"$",""))
)</f>
        <v>137.745813578293</v>
      </c>
      <c r="AA75" s="5" t="s">
        <v>86</v>
      </c>
      <c r="AB75" s="4" cm="1">
        <f t="array" ref="AB75">IF(
    LEN(TRIM(AA75&amp;""))=0,
        IF(AND(ISNUMBER(net_sales_clean), ISNUMBER(cost_clean)),
            net_sales_clean - cost_clean,
            ""
        ),
    VALUE(SUBSTITUTE(AA75,"$",""))
)</f>
        <v>49.322606421705999</v>
      </c>
      <c r="AC75">
        <v>1</v>
      </c>
      <c r="AD75">
        <f t="shared" si="24"/>
        <v>1</v>
      </c>
      <c r="AE75">
        <v>2</v>
      </c>
      <c r="AF75">
        <f t="shared" si="25"/>
        <v>2</v>
      </c>
      <c r="AG75">
        <v>0</v>
      </c>
      <c r="AH75">
        <f t="shared" si="26"/>
        <v>0</v>
      </c>
      <c r="AI75" t="str">
        <f t="shared" si="27"/>
        <v>Complete</v>
      </c>
    </row>
    <row r="76" spans="1:35">
      <c r="A76">
        <v>3503</v>
      </c>
      <c r="B76" s="6">
        <v>45951.04414351852</v>
      </c>
      <c r="C76" s="3">
        <f t="shared" si="14"/>
        <v>45951</v>
      </c>
      <c r="D76" s="2">
        <f t="shared" si="15"/>
        <v>4.4143518520286307E-2</v>
      </c>
      <c r="E76">
        <v>28</v>
      </c>
      <c r="F76" t="s">
        <v>8</v>
      </c>
      <c r="G76" t="str">
        <f t="shared" si="16"/>
        <v>West</v>
      </c>
      <c r="H76" t="s">
        <v>11</v>
      </c>
      <c r="I76" t="str">
        <f t="shared" si="17"/>
        <v>Online</v>
      </c>
      <c r="J76">
        <v>552</v>
      </c>
      <c r="K76" t="s">
        <v>10</v>
      </c>
      <c r="L76" t="str">
        <f t="shared" si="18"/>
        <v>Consumer</v>
      </c>
      <c r="M76" t="s">
        <v>9</v>
      </c>
      <c r="N76" t="str">
        <f t="shared" si="19"/>
        <v>Home</v>
      </c>
      <c r="O76" t="s">
        <v>32</v>
      </c>
      <c r="P76" t="str">
        <f>IF(LEN(TRIM(Table1[[#This Row],[subcategory]]&amp;""))=0,"Unknown", PROPER(TRIM(Table1[[#This Row],[subcategory]])))</f>
        <v>Furniture</v>
      </c>
      <c r="Q76">
        <v>16.7</v>
      </c>
      <c r="R76" s="1">
        <f t="shared" si="20"/>
        <v>16.7</v>
      </c>
      <c r="S76">
        <v>1</v>
      </c>
      <c r="T76">
        <f t="shared" si="21"/>
        <v>1</v>
      </c>
      <c r="U76">
        <v>16.7</v>
      </c>
      <c r="V76" s="1">
        <f t="shared" si="22"/>
        <v>16.7</v>
      </c>
      <c r="W76" s="1">
        <v>15.0634</v>
      </c>
      <c r="X76" s="1">
        <f t="shared" si="23"/>
        <v>15.0634</v>
      </c>
      <c r="Y76" s="5" t="s">
        <v>85</v>
      </c>
      <c r="Z76" s="4" cm="1">
        <f t="array" ref="Z76">IF(
    LEN(TRIM(Y76&amp;""))=0,
        IF(AND(ISNUMBER(net_sales_clean), ISNUMBER(profit_clean)),
            net_sales_clean - profit_clean,
            ""
        ),
    VALUE(SUBSTITUTE(Y76,"$",""))
)</f>
        <v>11.384623919698299</v>
      </c>
      <c r="AA76" s="5" t="s">
        <v>84</v>
      </c>
      <c r="AB76" s="4" cm="1">
        <f t="array" ref="AB76">IF(
    LEN(TRIM(AA76&amp;""))=0,
        IF(AND(ISNUMBER(net_sales_clean), ISNUMBER(cost_clean)),
            net_sales_clean - cost_clean,
            ""
        ),
    VALUE(SUBSTITUTE(AA76,"$",""))
)</f>
        <v>3.6787760803016498</v>
      </c>
      <c r="AC76">
        <v>4</v>
      </c>
      <c r="AD76">
        <f t="shared" si="24"/>
        <v>4</v>
      </c>
      <c r="AE76">
        <v>2</v>
      </c>
      <c r="AF76">
        <f t="shared" si="25"/>
        <v>2</v>
      </c>
      <c r="AG76">
        <v>0</v>
      </c>
      <c r="AH76">
        <f t="shared" si="26"/>
        <v>0</v>
      </c>
      <c r="AI76" t="str">
        <f t="shared" si="27"/>
        <v>Complete</v>
      </c>
    </row>
    <row r="77" spans="1:35">
      <c r="A77">
        <v>39337</v>
      </c>
      <c r="B77" s="6">
        <v>45537.24019675926</v>
      </c>
      <c r="C77" s="3">
        <f t="shared" si="14"/>
        <v>45537</v>
      </c>
      <c r="D77" s="2">
        <f t="shared" si="15"/>
        <v>0.24019675925956108</v>
      </c>
      <c r="E77">
        <v>64</v>
      </c>
      <c r="F77" t="s">
        <v>8</v>
      </c>
      <c r="G77" t="str">
        <f t="shared" si="16"/>
        <v>West</v>
      </c>
      <c r="H77" t="s">
        <v>17</v>
      </c>
      <c r="I77" t="str">
        <f t="shared" si="17"/>
        <v>Online</v>
      </c>
      <c r="J77">
        <v>8403</v>
      </c>
      <c r="K77" t="s">
        <v>14</v>
      </c>
      <c r="L77" t="str">
        <f t="shared" si="18"/>
        <v>Consumer</v>
      </c>
      <c r="M77" t="s">
        <v>9</v>
      </c>
      <c r="N77" t="str">
        <f t="shared" si="19"/>
        <v>Home</v>
      </c>
      <c r="O77" t="s">
        <v>32</v>
      </c>
      <c r="P77" t="str">
        <f>IF(LEN(TRIM(Table1[[#This Row],[subcategory]]&amp;""))=0,"Unknown", PROPER(TRIM(Table1[[#This Row],[subcategory]])))</f>
        <v>Furniture</v>
      </c>
      <c r="Q77">
        <v>107.82</v>
      </c>
      <c r="R77" s="1">
        <f t="shared" si="20"/>
        <v>107.82</v>
      </c>
      <c r="S77">
        <v>8</v>
      </c>
      <c r="T77">
        <f t="shared" si="21"/>
        <v>8</v>
      </c>
      <c r="U77">
        <v>862.56</v>
      </c>
      <c r="V77" s="1">
        <f t="shared" si="22"/>
        <v>862.56</v>
      </c>
      <c r="W77" s="1">
        <v>779.75423999999998</v>
      </c>
      <c r="X77" s="1">
        <f t="shared" si="23"/>
        <v>779.75423999999998</v>
      </c>
      <c r="Y77" s="5" t="s">
        <v>83</v>
      </c>
      <c r="Z77" s="4" cm="1">
        <f t="array" ref="Z77">IF(
    LEN(TRIM(Y77&amp;""))=0,
        IF(AND(ISNUMBER(net_sales_clean), ISNUMBER(profit_clean)),
            net_sales_clean - profit_clean,
            ""
        ),
    VALUE(SUBSTITUTE(Y77,"$",""))
)</f>
        <v>531.57032907531902</v>
      </c>
      <c r="AA77" s="5" t="s">
        <v>82</v>
      </c>
      <c r="AB77" s="4" cm="1">
        <f t="array" ref="AB77">IF(
    LEN(TRIM(AA77&amp;""))=0,
        IF(AND(ISNUMBER(net_sales_clean), ISNUMBER(cost_clean)),
            net_sales_clean - cost_clean,
            ""
        ),
    VALUE(SUBSTITUTE(AA77,"$",""))
)</f>
        <v>248.18391092467999</v>
      </c>
      <c r="AC77">
        <v>3</v>
      </c>
      <c r="AD77">
        <f t="shared" si="24"/>
        <v>3</v>
      </c>
      <c r="AE77">
        <v>1</v>
      </c>
      <c r="AF77">
        <f t="shared" si="25"/>
        <v>1</v>
      </c>
      <c r="AG77">
        <v>0</v>
      </c>
      <c r="AH77">
        <f t="shared" si="26"/>
        <v>0</v>
      </c>
      <c r="AI77" t="str">
        <f t="shared" si="27"/>
        <v>Complete</v>
      </c>
    </row>
    <row r="78" spans="1:35">
      <c r="A78">
        <v>2219</v>
      </c>
      <c r="B78" s="6">
        <v>45718.921157407407</v>
      </c>
      <c r="C78" s="3">
        <f t="shared" si="14"/>
        <v>45718</v>
      </c>
      <c r="D78" s="2">
        <f t="shared" si="15"/>
        <v>0.92115740740700858</v>
      </c>
      <c r="E78">
        <v>34</v>
      </c>
      <c r="F78" t="s">
        <v>4</v>
      </c>
      <c r="G78" t="str">
        <f t="shared" si="16"/>
        <v>South</v>
      </c>
      <c r="H78" t="s">
        <v>27</v>
      </c>
      <c r="I78" t="str">
        <f t="shared" si="17"/>
        <v>In Store</v>
      </c>
      <c r="J78">
        <v>27443</v>
      </c>
      <c r="K78" t="s">
        <v>10</v>
      </c>
      <c r="L78" t="str">
        <f t="shared" si="18"/>
        <v>Consumer</v>
      </c>
      <c r="M78" t="s">
        <v>9</v>
      </c>
      <c r="N78" t="str">
        <f t="shared" si="19"/>
        <v>Home</v>
      </c>
      <c r="O78" t="s">
        <v>37</v>
      </c>
      <c r="P78" t="str">
        <f>IF(LEN(TRIM(Table1[[#This Row],[subcategory]]&amp;""))=0,"Unknown", PROPER(TRIM(Table1[[#This Row],[subcategory]])))</f>
        <v>Kitchen</v>
      </c>
      <c r="Q78">
        <v>44.67</v>
      </c>
      <c r="R78" s="1">
        <f t="shared" si="20"/>
        <v>44.67</v>
      </c>
      <c r="S78">
        <v>3</v>
      </c>
      <c r="T78">
        <f t="shared" si="21"/>
        <v>3</v>
      </c>
      <c r="U78">
        <v>134.01</v>
      </c>
      <c r="V78" s="1">
        <f t="shared" si="22"/>
        <v>134.01</v>
      </c>
      <c r="W78" s="4" t="s">
        <v>81</v>
      </c>
      <c r="X78" s="4">
        <f t="shared" si="23"/>
        <v>129.18563999999901</v>
      </c>
      <c r="Z78" s="1" t="str" cm="1">
        <f t="array" ref="Z78">IF(
    LEN(TRIM(Y78&amp;""))=0,
        IF(AND(ISNUMBER(net_sales_clean), ISNUMBER(profit_clean)),
            net_sales_clean - profit_clean,
            ""
        ),
    VALUE(SUBSTITUTE(Y78,"$",""))
)</f>
        <v/>
      </c>
      <c r="AB78" s="1" t="str" cm="1">
        <f t="array" ref="AB78">IF(
    LEN(TRIM(AA78&amp;""))=0,
        IF(AND(ISNUMBER(net_sales_clean), ISNUMBER(cost_clean)),
            net_sales_clean - cost_clean,
            ""
        ),
    VALUE(SUBSTITUTE(AA78,"$",""))
)</f>
        <v/>
      </c>
      <c r="AC78">
        <v>1</v>
      </c>
      <c r="AD78">
        <f t="shared" si="24"/>
        <v>1</v>
      </c>
      <c r="AE78">
        <v>1</v>
      </c>
      <c r="AF78">
        <f t="shared" si="25"/>
        <v>1</v>
      </c>
      <c r="AH78" t="str">
        <f t="shared" si="26"/>
        <v/>
      </c>
      <c r="AI78" t="str">
        <f t="shared" si="27"/>
        <v>Incomplete</v>
      </c>
    </row>
    <row r="79" spans="1:35">
      <c r="A79">
        <v>18506</v>
      </c>
      <c r="B79" s="6">
        <v>44957.324629629627</v>
      </c>
      <c r="C79" s="3">
        <f t="shared" si="14"/>
        <v>44957</v>
      </c>
      <c r="D79" s="2">
        <f t="shared" si="15"/>
        <v>0.32462962962745223</v>
      </c>
      <c r="E79">
        <v>19</v>
      </c>
      <c r="F79" t="s">
        <v>15</v>
      </c>
      <c r="G79" t="str">
        <f t="shared" si="16"/>
        <v>West</v>
      </c>
      <c r="H79" t="s">
        <v>7</v>
      </c>
      <c r="I79" t="str">
        <f t="shared" si="17"/>
        <v>In Store</v>
      </c>
      <c r="J79">
        <v>4745</v>
      </c>
      <c r="K79" t="s">
        <v>14</v>
      </c>
      <c r="L79" t="str">
        <f t="shared" si="18"/>
        <v>Consumer</v>
      </c>
      <c r="M79" t="s">
        <v>23</v>
      </c>
      <c r="N79" t="str">
        <f t="shared" si="19"/>
        <v>Electronics</v>
      </c>
      <c r="O79" t="s">
        <v>22</v>
      </c>
      <c r="P79" t="str">
        <f>IF(LEN(TRIM(Table1[[#This Row],[subcategory]]&amp;""))=0,"Unknown", PROPER(TRIM(Table1[[#This Row],[subcategory]])))</f>
        <v>Audio</v>
      </c>
      <c r="Q79">
        <v>32.26</v>
      </c>
      <c r="R79" s="1">
        <f t="shared" si="20"/>
        <v>32.26</v>
      </c>
      <c r="S79">
        <v>6</v>
      </c>
      <c r="T79">
        <f t="shared" si="21"/>
        <v>6</v>
      </c>
      <c r="U79">
        <v>193.56</v>
      </c>
      <c r="V79" s="1">
        <f t="shared" si="22"/>
        <v>193.56</v>
      </c>
      <c r="W79" s="1">
        <v>92.521680000000003</v>
      </c>
      <c r="X79" s="1">
        <f t="shared" si="23"/>
        <v>92.521680000000003</v>
      </c>
      <c r="Y79">
        <v>69.292445472787406</v>
      </c>
      <c r="Z79" s="1" cm="1">
        <f t="array" ref="Z79">IF(
    LEN(TRIM(Y79&amp;""))=0,
        IF(AND(ISNUMBER(net_sales_clean), ISNUMBER(profit_clean)),
            net_sales_clean - profit_clean,
            ""
        ),
    VALUE(SUBSTITUTE(Y79,"$",""))
)</f>
        <v>69.292445472787406</v>
      </c>
      <c r="AA79" s="5" t="s">
        <v>80</v>
      </c>
      <c r="AB79" s="4" cm="1">
        <f t="array" ref="AB79">IF(
    LEN(TRIM(AA79&amp;""))=0,
        IF(AND(ISNUMBER(net_sales_clean), ISNUMBER(cost_clean)),
            net_sales_clean - cost_clean,
            ""
        ),
    VALUE(SUBSTITUTE(AA79,"$",""))
)</f>
        <v>23.229234527212501</v>
      </c>
      <c r="AC79">
        <v>2</v>
      </c>
      <c r="AD79">
        <f t="shared" si="24"/>
        <v>2</v>
      </c>
      <c r="AE79">
        <v>1</v>
      </c>
      <c r="AF79">
        <f t="shared" si="25"/>
        <v>1</v>
      </c>
      <c r="AG79">
        <v>0</v>
      </c>
      <c r="AH79">
        <f t="shared" si="26"/>
        <v>0</v>
      </c>
      <c r="AI79" t="str">
        <f t="shared" si="27"/>
        <v>Complete</v>
      </c>
    </row>
    <row r="80" spans="1:35">
      <c r="A80">
        <v>10690</v>
      </c>
      <c r="B80" s="6">
        <v>45763.114502314813</v>
      </c>
      <c r="C80" s="3">
        <f t="shared" si="14"/>
        <v>45763</v>
      </c>
      <c r="D80" s="2">
        <f t="shared" si="15"/>
        <v>0.114502314812853</v>
      </c>
      <c r="E80">
        <v>36</v>
      </c>
      <c r="F80" t="s">
        <v>21</v>
      </c>
      <c r="G80" t="str">
        <f t="shared" si="16"/>
        <v>Midwest</v>
      </c>
      <c r="H80" t="s">
        <v>17</v>
      </c>
      <c r="I80" t="str">
        <f t="shared" si="17"/>
        <v>Online</v>
      </c>
      <c r="J80">
        <v>7762</v>
      </c>
      <c r="K80" t="s">
        <v>2</v>
      </c>
      <c r="L80" t="str">
        <f t="shared" si="18"/>
        <v>Home Office</v>
      </c>
      <c r="M80" t="s">
        <v>23</v>
      </c>
      <c r="N80" t="str">
        <f t="shared" si="19"/>
        <v>Electronics</v>
      </c>
      <c r="O80" t="s">
        <v>25</v>
      </c>
      <c r="P80" t="str">
        <f>IF(LEN(TRIM(Table1[[#This Row],[subcategory]]&amp;""))=0,"Unknown", PROPER(TRIM(Table1[[#This Row],[subcategory]])))</f>
        <v>Laptops</v>
      </c>
      <c r="Q80">
        <v>100.38</v>
      </c>
      <c r="R80" s="1">
        <f t="shared" si="20"/>
        <v>100.38</v>
      </c>
      <c r="S80">
        <v>1</v>
      </c>
      <c r="T80">
        <f t="shared" si="21"/>
        <v>1</v>
      </c>
      <c r="U80">
        <v>100.38</v>
      </c>
      <c r="V80" s="1">
        <f t="shared" si="22"/>
        <v>100.38</v>
      </c>
      <c r="W80" s="1">
        <v>96.063659999999999</v>
      </c>
      <c r="X80" s="1">
        <f t="shared" si="23"/>
        <v>96.063659999999999</v>
      </c>
      <c r="Y80" s="5" t="s">
        <v>79</v>
      </c>
      <c r="Z80" s="4" cm="1">
        <f t="array" ref="Z80">IF(
    LEN(TRIM(Y80&amp;""))=0,
        IF(AND(ISNUMBER(net_sales_clean), ISNUMBER(profit_clean)),
            net_sales_clean - profit_clean,
            ""
        ),
    VALUE(SUBSTITUTE(Y80,"$",""))
)</f>
        <v>71.013377759880299</v>
      </c>
      <c r="AA80" s="5" t="s">
        <v>78</v>
      </c>
      <c r="AB80" s="4" cm="1">
        <f t="array" ref="AB80">IF(
    LEN(TRIM(AA80&amp;""))=0,
        IF(AND(ISNUMBER(net_sales_clean), ISNUMBER(cost_clean)),
            net_sales_clean - cost_clean,
            ""
        ),
    VALUE(SUBSTITUTE(AA80,"$",""))
)</f>
        <v>25.0502822401196</v>
      </c>
      <c r="AC80">
        <v>2</v>
      </c>
      <c r="AD80">
        <f t="shared" si="24"/>
        <v>2</v>
      </c>
      <c r="AE80">
        <v>5</v>
      </c>
      <c r="AF80">
        <f t="shared" si="25"/>
        <v>5</v>
      </c>
      <c r="AG80">
        <v>0</v>
      </c>
      <c r="AH80">
        <f t="shared" si="26"/>
        <v>0</v>
      </c>
      <c r="AI80" t="str">
        <f t="shared" si="27"/>
        <v>Complete</v>
      </c>
    </row>
    <row r="81" spans="1:35">
      <c r="A81">
        <v>21378</v>
      </c>
      <c r="B81" s="6">
        <v>44935.43855324074</v>
      </c>
      <c r="C81" s="3">
        <f t="shared" si="14"/>
        <v>44935</v>
      </c>
      <c r="D81" s="2">
        <f t="shared" si="15"/>
        <v>0.43855324073956581</v>
      </c>
      <c r="E81">
        <v>37</v>
      </c>
      <c r="F81" t="s">
        <v>8</v>
      </c>
      <c r="G81" t="str">
        <f t="shared" si="16"/>
        <v>West</v>
      </c>
      <c r="H81" t="s">
        <v>11</v>
      </c>
      <c r="I81" t="str">
        <f t="shared" si="17"/>
        <v>Online</v>
      </c>
      <c r="J81">
        <v>6675</v>
      </c>
      <c r="K81" t="s">
        <v>10</v>
      </c>
      <c r="L81" t="str">
        <f t="shared" si="18"/>
        <v>Consumer</v>
      </c>
      <c r="M81" t="s">
        <v>16</v>
      </c>
      <c r="N81" t="str">
        <f t="shared" si="19"/>
        <v>Grocery</v>
      </c>
      <c r="O81" t="s">
        <v>36</v>
      </c>
      <c r="P81" t="str">
        <f>IF(LEN(TRIM(Table1[[#This Row],[subcategory]]&amp;""))=0,"Unknown", PROPER(TRIM(Table1[[#This Row],[subcategory]])))</f>
        <v>Produce</v>
      </c>
      <c r="Q81">
        <v>225.45</v>
      </c>
      <c r="R81" s="1">
        <f t="shared" si="20"/>
        <v>225.45</v>
      </c>
      <c r="S81">
        <v>4</v>
      </c>
      <c r="T81">
        <f t="shared" si="21"/>
        <v>4</v>
      </c>
      <c r="U81">
        <v>901.8</v>
      </c>
      <c r="V81" s="1">
        <f t="shared" si="22"/>
        <v>901.8</v>
      </c>
      <c r="W81" s="1">
        <v>836.87040000000002</v>
      </c>
      <c r="X81" s="1">
        <f t="shared" si="23"/>
        <v>836.87040000000002</v>
      </c>
      <c r="Z81" s="1" t="str" cm="1">
        <f t="array" ref="Z81">IF(
    LEN(TRIM(Y81&amp;""))=0,
        IF(AND(ISNUMBER(net_sales_clean), ISNUMBER(profit_clean)),
            net_sales_clean - profit_clean,
            ""
        ),
    VALUE(SUBSTITUTE(Y81,"$",""))
)</f>
        <v/>
      </c>
      <c r="AB81" s="1" t="str" cm="1">
        <f t="array" ref="AB81">IF(
    LEN(TRIM(AA81&amp;""))=0,
        IF(AND(ISNUMBER(net_sales_clean), ISNUMBER(cost_clean)),
            net_sales_clean - cost_clean,
            ""
        ),
    VALUE(SUBSTITUTE(AA81,"$",""))
)</f>
        <v/>
      </c>
      <c r="AC81">
        <v>2</v>
      </c>
      <c r="AD81">
        <f t="shared" si="24"/>
        <v>2</v>
      </c>
      <c r="AE81">
        <v>2</v>
      </c>
      <c r="AF81">
        <f t="shared" si="25"/>
        <v>2</v>
      </c>
      <c r="AG81">
        <v>1</v>
      </c>
      <c r="AH81">
        <f t="shared" si="26"/>
        <v>1</v>
      </c>
      <c r="AI81" t="str">
        <f t="shared" si="27"/>
        <v>Incomplete</v>
      </c>
    </row>
    <row r="82" spans="1:35">
      <c r="A82">
        <v>1867</v>
      </c>
      <c r="B82" s="6">
        <v>45740.203506944446</v>
      </c>
      <c r="C82" s="3">
        <f t="shared" si="14"/>
        <v>45740</v>
      </c>
      <c r="D82" s="2">
        <f t="shared" si="15"/>
        <v>0.20350694444641704</v>
      </c>
      <c r="E82">
        <v>57</v>
      </c>
      <c r="F82" t="s">
        <v>8</v>
      </c>
      <c r="G82" t="str">
        <f t="shared" si="16"/>
        <v>West</v>
      </c>
      <c r="H82" t="s">
        <v>27</v>
      </c>
      <c r="I82" t="str">
        <f t="shared" si="17"/>
        <v>In Store</v>
      </c>
      <c r="J82">
        <v>27284</v>
      </c>
      <c r="K82" t="s">
        <v>14</v>
      </c>
      <c r="L82" t="str">
        <f t="shared" si="18"/>
        <v>Consumer</v>
      </c>
      <c r="M82" t="s">
        <v>9</v>
      </c>
      <c r="N82" t="str">
        <f t="shared" si="19"/>
        <v>Home</v>
      </c>
      <c r="O82" t="s">
        <v>37</v>
      </c>
      <c r="P82" t="str">
        <f>IF(LEN(TRIM(Table1[[#This Row],[subcategory]]&amp;""))=0,"Unknown", PROPER(TRIM(Table1[[#This Row],[subcategory]])))</f>
        <v>Kitchen</v>
      </c>
      <c r="Q82">
        <v>28.51</v>
      </c>
      <c r="R82" s="1">
        <f t="shared" si="20"/>
        <v>28.51</v>
      </c>
      <c r="S82">
        <v>3</v>
      </c>
      <c r="T82">
        <f t="shared" si="21"/>
        <v>3</v>
      </c>
      <c r="U82">
        <v>85.53</v>
      </c>
      <c r="V82" s="1">
        <f t="shared" si="22"/>
        <v>85.53</v>
      </c>
      <c r="W82" s="4" t="s">
        <v>77</v>
      </c>
      <c r="X82" s="4">
        <f t="shared" si="23"/>
        <v>69.706949999999907</v>
      </c>
      <c r="Y82" s="5" t="s">
        <v>76</v>
      </c>
      <c r="Z82" s="4" cm="1">
        <f t="array" ref="Z82">IF(
    LEN(TRIM(Y82&amp;""))=0,
        IF(AND(ISNUMBER(net_sales_clean), ISNUMBER(profit_clean)),
            net_sales_clean - profit_clean,
            ""
        ),
    VALUE(SUBSTITUTE(Y82,"$",""))
)</f>
        <v>49.6419523944475</v>
      </c>
      <c r="AA82" s="5" t="s">
        <v>75</v>
      </c>
      <c r="AB82" s="4" cm="1">
        <f t="array" ref="AB82">IF(
    LEN(TRIM(AA82&amp;""))=0,
        IF(AND(ISNUMBER(net_sales_clean), ISNUMBER(cost_clean)),
            net_sales_clean - cost_clean,
            ""
        ),
    VALUE(SUBSTITUTE(AA82,"$",""))
)</f>
        <v>20.064997605552399</v>
      </c>
      <c r="AC82">
        <v>3</v>
      </c>
      <c r="AD82">
        <f t="shared" si="24"/>
        <v>3</v>
      </c>
      <c r="AE82">
        <v>5</v>
      </c>
      <c r="AF82">
        <f t="shared" si="25"/>
        <v>5</v>
      </c>
      <c r="AG82">
        <v>0</v>
      </c>
      <c r="AH82">
        <f t="shared" si="26"/>
        <v>0</v>
      </c>
      <c r="AI82" t="str">
        <f t="shared" si="27"/>
        <v>Complete</v>
      </c>
    </row>
    <row r="83" spans="1:35">
      <c r="A83">
        <v>20193</v>
      </c>
      <c r="B83" s="6">
        <v>45675.592951388891</v>
      </c>
      <c r="C83" s="3">
        <f t="shared" si="14"/>
        <v>45675</v>
      </c>
      <c r="D83" s="2">
        <f t="shared" si="15"/>
        <v>0.59295138889137888</v>
      </c>
      <c r="E83">
        <v>73</v>
      </c>
      <c r="F83" t="s">
        <v>21</v>
      </c>
      <c r="G83" t="str">
        <f t="shared" si="16"/>
        <v>Midwest</v>
      </c>
      <c r="H83" t="s">
        <v>11</v>
      </c>
      <c r="I83" t="str">
        <f t="shared" si="17"/>
        <v>Online</v>
      </c>
      <c r="J83">
        <v>19058</v>
      </c>
      <c r="K83" t="s">
        <v>2</v>
      </c>
      <c r="L83" t="str">
        <f t="shared" si="18"/>
        <v>Home Office</v>
      </c>
      <c r="M83" t="s">
        <v>23</v>
      </c>
      <c r="N83" t="str">
        <f t="shared" si="19"/>
        <v>Electronics</v>
      </c>
      <c r="O83" t="s">
        <v>34</v>
      </c>
      <c r="P83" t="str">
        <f>IF(LEN(TRIM(Table1[[#This Row],[subcategory]]&amp;""))=0,"Unknown", PROPER(TRIM(Table1[[#This Row],[subcategory]])))</f>
        <v>Phones</v>
      </c>
      <c r="Q83">
        <v>49.03</v>
      </c>
      <c r="R83" s="1">
        <f t="shared" si="20"/>
        <v>49.03</v>
      </c>
      <c r="S83">
        <v>4</v>
      </c>
      <c r="T83">
        <f t="shared" si="21"/>
        <v>4</v>
      </c>
      <c r="U83">
        <v>196.12</v>
      </c>
      <c r="V83" s="1">
        <f t="shared" si="22"/>
        <v>196.12</v>
      </c>
      <c r="W83" s="4" t="s">
        <v>74</v>
      </c>
      <c r="X83" s="4">
        <f t="shared" si="23"/>
        <v>140.22579999999999</v>
      </c>
      <c r="Y83" s="5" t="s">
        <v>73</v>
      </c>
      <c r="Z83" s="4" cm="1">
        <f t="array" ref="Z83">IF(
    LEN(TRIM(Y83&amp;""))=0,
        IF(AND(ISNUMBER(net_sales_clean), ISNUMBER(profit_clean)),
            net_sales_clean - profit_clean,
            ""
        ),
    VALUE(SUBSTITUTE(Y83,"$",""))
)</f>
        <v>95.573588458153196</v>
      </c>
      <c r="AA83" s="5" t="s">
        <v>72</v>
      </c>
      <c r="AB83" s="4" cm="1">
        <f t="array" ref="AB83">IF(
    LEN(TRIM(AA83&amp;""))=0,
        IF(AND(ISNUMBER(net_sales_clean), ISNUMBER(cost_clean)),
            net_sales_clean - cost_clean,
            ""
        ),
    VALUE(SUBSTITUTE(AA83,"$",""))
)</f>
        <v>44.652211541846697</v>
      </c>
      <c r="AC83">
        <v>4</v>
      </c>
      <c r="AD83">
        <f t="shared" si="24"/>
        <v>4</v>
      </c>
      <c r="AE83">
        <v>4</v>
      </c>
      <c r="AF83">
        <f t="shared" si="25"/>
        <v>4</v>
      </c>
      <c r="AG83">
        <v>0</v>
      </c>
      <c r="AH83">
        <f t="shared" si="26"/>
        <v>0</v>
      </c>
      <c r="AI83" t="str">
        <f t="shared" si="27"/>
        <v>Complete</v>
      </c>
    </row>
    <row r="84" spans="1:35">
      <c r="A84">
        <v>28871</v>
      </c>
      <c r="B84" s="6">
        <v>45896.53052083333</v>
      </c>
      <c r="C84" s="3">
        <f t="shared" si="14"/>
        <v>45896</v>
      </c>
      <c r="D84" s="2">
        <f t="shared" si="15"/>
        <v>0.53052083333022892</v>
      </c>
      <c r="E84">
        <v>79</v>
      </c>
      <c r="F84" t="s">
        <v>4</v>
      </c>
      <c r="G84" t="str">
        <f t="shared" si="16"/>
        <v>South</v>
      </c>
      <c r="H84" t="s">
        <v>7</v>
      </c>
      <c r="I84" t="str">
        <f t="shared" si="17"/>
        <v>In Store</v>
      </c>
      <c r="J84">
        <v>623</v>
      </c>
      <c r="K84" t="s">
        <v>10</v>
      </c>
      <c r="L84" t="str">
        <f t="shared" si="18"/>
        <v>Consumer</v>
      </c>
      <c r="M84" t="s">
        <v>1</v>
      </c>
      <c r="N84" t="str">
        <f t="shared" si="19"/>
        <v>Beauty</v>
      </c>
      <c r="P84" t="str">
        <f>IF(LEN(TRIM(Table1[[#This Row],[subcategory]]&amp;""))=0,"Unknown", PROPER(TRIM(Table1[[#This Row],[subcategory]])))</f>
        <v>Unknown</v>
      </c>
      <c r="Q84">
        <v>99.65</v>
      </c>
      <c r="R84" s="1">
        <f t="shared" si="20"/>
        <v>99.65</v>
      </c>
      <c r="S84">
        <v>4</v>
      </c>
      <c r="T84">
        <f t="shared" si="21"/>
        <v>4</v>
      </c>
      <c r="U84">
        <v>398.6</v>
      </c>
      <c r="V84" s="1">
        <f t="shared" si="22"/>
        <v>398.6</v>
      </c>
      <c r="W84" s="1">
        <v>263.8732</v>
      </c>
      <c r="X84" s="1">
        <f t="shared" si="23"/>
        <v>263.8732</v>
      </c>
      <c r="Z84" s="1" t="str" cm="1">
        <f t="array" ref="Z84">IF(
    LEN(TRIM(Y84&amp;""))=0,
        IF(AND(ISNUMBER(net_sales_clean), ISNUMBER(profit_clean)),
            net_sales_clean - profit_clean,
            ""
        ),
    VALUE(SUBSTITUTE(Y84,"$",""))
)</f>
        <v/>
      </c>
      <c r="AB84" s="1" t="str" cm="1">
        <f t="array" ref="AB84">IF(
    LEN(TRIM(AA84&amp;""))=0,
        IF(AND(ISNUMBER(net_sales_clean), ISNUMBER(cost_clean)),
            net_sales_clean - cost_clean,
            ""
        ),
    VALUE(SUBSTITUTE(AA84,"$",""))
)</f>
        <v/>
      </c>
      <c r="AC84">
        <v>5</v>
      </c>
      <c r="AD84">
        <f t="shared" si="24"/>
        <v>5</v>
      </c>
      <c r="AE84">
        <v>5</v>
      </c>
      <c r="AF84">
        <f t="shared" si="25"/>
        <v>5</v>
      </c>
      <c r="AG84">
        <v>0</v>
      </c>
      <c r="AH84">
        <f t="shared" si="26"/>
        <v>0</v>
      </c>
      <c r="AI84" t="str">
        <f t="shared" si="27"/>
        <v>Incomplete</v>
      </c>
    </row>
    <row r="85" spans="1:35">
      <c r="A85">
        <v>52204</v>
      </c>
      <c r="B85" s="6">
        <v>45067.492129629631</v>
      </c>
      <c r="C85" s="3">
        <f t="shared" si="14"/>
        <v>45067</v>
      </c>
      <c r="D85" s="2">
        <f t="shared" si="15"/>
        <v>0.49212962963065365</v>
      </c>
      <c r="E85">
        <v>34</v>
      </c>
      <c r="F85" t="s">
        <v>8</v>
      </c>
      <c r="G85" t="str">
        <f t="shared" si="16"/>
        <v>West</v>
      </c>
      <c r="H85" t="s">
        <v>17</v>
      </c>
      <c r="I85" t="str">
        <f t="shared" si="17"/>
        <v>Online</v>
      </c>
      <c r="J85">
        <v>16662</v>
      </c>
      <c r="K85" t="s">
        <v>2</v>
      </c>
      <c r="L85" t="str">
        <f t="shared" si="18"/>
        <v>Home Office</v>
      </c>
      <c r="M85" t="s">
        <v>1</v>
      </c>
      <c r="N85" t="str">
        <f t="shared" si="19"/>
        <v>Beauty</v>
      </c>
      <c r="O85" t="s">
        <v>38</v>
      </c>
      <c r="P85" t="str">
        <f>IF(LEN(TRIM(Table1[[#This Row],[subcategory]]&amp;""))=0,"Unknown", PROPER(TRIM(Table1[[#This Row],[subcategory]])))</f>
        <v>Fragrance</v>
      </c>
      <c r="Q85">
        <v>121.31</v>
      </c>
      <c r="R85" s="1">
        <f t="shared" si="20"/>
        <v>121.31</v>
      </c>
      <c r="S85">
        <v>3</v>
      </c>
      <c r="T85">
        <f t="shared" si="21"/>
        <v>3</v>
      </c>
      <c r="U85">
        <v>363.93</v>
      </c>
      <c r="V85" s="1">
        <f t="shared" si="22"/>
        <v>363.93</v>
      </c>
      <c r="W85" s="1">
        <v>271.49178000000001</v>
      </c>
      <c r="X85" s="1">
        <f t="shared" si="23"/>
        <v>271.49178000000001</v>
      </c>
      <c r="Y85" s="5" t="s">
        <v>71</v>
      </c>
      <c r="Z85" s="4" cm="1">
        <f t="array" ref="Z85">IF(
    LEN(TRIM(Y85&amp;""))=0,
        IF(AND(ISNUMBER(net_sales_clean), ISNUMBER(profit_clean)),
            net_sales_clean - profit_clean,
            ""
        ),
    VALUE(SUBSTITUTE(Y85,"$",""))
)</f>
        <v>197.09633110060699</v>
      </c>
      <c r="AA85" s="5" t="s">
        <v>70</v>
      </c>
      <c r="AB85" s="4" cm="1">
        <f t="array" ref="AB85">IF(
    LEN(TRIM(AA85&amp;""))=0,
        IF(AND(ISNUMBER(net_sales_clean), ISNUMBER(cost_clean)),
            net_sales_clean - cost_clean,
            ""
        ),
    VALUE(SUBSTITUTE(AA85,"$",""))
)</f>
        <v>74.395448899391994</v>
      </c>
      <c r="AC85">
        <v>7</v>
      </c>
      <c r="AD85">
        <f t="shared" si="24"/>
        <v>7</v>
      </c>
      <c r="AE85">
        <v>5</v>
      </c>
      <c r="AF85">
        <f t="shared" si="25"/>
        <v>5</v>
      </c>
      <c r="AG85">
        <v>0</v>
      </c>
      <c r="AH85">
        <f t="shared" si="26"/>
        <v>0</v>
      </c>
      <c r="AI85" t="str">
        <f t="shared" si="27"/>
        <v>Complete</v>
      </c>
    </row>
    <row r="86" spans="1:35">
      <c r="A86">
        <v>3868</v>
      </c>
      <c r="B86" s="6">
        <v>45561.763657407406</v>
      </c>
      <c r="C86" s="3">
        <f t="shared" si="14"/>
        <v>45561</v>
      </c>
      <c r="D86" s="2">
        <f t="shared" si="15"/>
        <v>0.76365740740584442</v>
      </c>
      <c r="E86">
        <v>42</v>
      </c>
      <c r="F86" t="s">
        <v>13</v>
      </c>
      <c r="G86" t="str">
        <f t="shared" si="16"/>
        <v>Northeast</v>
      </c>
      <c r="H86" t="s">
        <v>17</v>
      </c>
      <c r="I86" t="str">
        <f t="shared" si="17"/>
        <v>Online</v>
      </c>
      <c r="J86">
        <v>28145</v>
      </c>
      <c r="K86" t="s">
        <v>6</v>
      </c>
      <c r="L86" t="str">
        <f t="shared" si="18"/>
        <v>Corporate</v>
      </c>
      <c r="M86" t="s">
        <v>9</v>
      </c>
      <c r="N86" t="str">
        <f t="shared" si="19"/>
        <v>Home</v>
      </c>
      <c r="O86" t="s">
        <v>32</v>
      </c>
      <c r="P86" t="str">
        <f>IF(LEN(TRIM(Table1[[#This Row],[subcategory]]&amp;""))=0,"Unknown", PROPER(TRIM(Table1[[#This Row],[subcategory]])))</f>
        <v>Furniture</v>
      </c>
      <c r="Q86">
        <v>16.82</v>
      </c>
      <c r="R86" s="1">
        <f t="shared" si="20"/>
        <v>16.82</v>
      </c>
      <c r="S86">
        <v>2</v>
      </c>
      <c r="T86">
        <f t="shared" si="21"/>
        <v>2</v>
      </c>
      <c r="U86">
        <v>33.64</v>
      </c>
      <c r="V86" s="1">
        <f t="shared" si="22"/>
        <v>33.64</v>
      </c>
      <c r="W86" s="1">
        <v>29.098600000000001</v>
      </c>
      <c r="X86" s="1">
        <f t="shared" si="23"/>
        <v>29.098600000000001</v>
      </c>
      <c r="Y86" s="5" t="s">
        <v>69</v>
      </c>
      <c r="Z86" s="4" cm="1">
        <f t="array" ref="Z86">IF(
    LEN(TRIM(Y86&amp;""))=0,
        IF(AND(ISNUMBER(net_sales_clean), ISNUMBER(profit_clean)),
            net_sales_clean - profit_clean,
            ""
        ),
    VALUE(SUBSTITUTE(Y86,"$",""))
)</f>
        <v>19.598308866312401</v>
      </c>
      <c r="AA86">
        <v>9.5002911336875897</v>
      </c>
      <c r="AB86" s="1" cm="1">
        <f t="array" ref="AB86">IF(
    LEN(TRIM(AA86&amp;""))=0,
        IF(AND(ISNUMBER(net_sales_clean), ISNUMBER(cost_clean)),
            net_sales_clean - cost_clean,
            ""
        ),
    VALUE(SUBSTITUTE(AA86,"$",""))
)</f>
        <v>9.5002911336875897</v>
      </c>
      <c r="AC86">
        <v>3</v>
      </c>
      <c r="AD86">
        <f t="shared" si="24"/>
        <v>3</v>
      </c>
      <c r="AE86">
        <v>3</v>
      </c>
      <c r="AF86">
        <f t="shared" si="25"/>
        <v>3</v>
      </c>
      <c r="AG86">
        <v>1</v>
      </c>
      <c r="AH86">
        <f t="shared" si="26"/>
        <v>1</v>
      </c>
      <c r="AI86" t="str">
        <f t="shared" si="27"/>
        <v>Complete</v>
      </c>
    </row>
    <row r="87" spans="1:35">
      <c r="A87">
        <v>3223</v>
      </c>
      <c r="B87" s="6">
        <v>45382.460115740738</v>
      </c>
      <c r="C87" s="3">
        <f t="shared" si="14"/>
        <v>45382</v>
      </c>
      <c r="D87" s="2">
        <f t="shared" si="15"/>
        <v>0.46011574073781958</v>
      </c>
      <c r="E87">
        <v>29</v>
      </c>
      <c r="F87" t="s">
        <v>13</v>
      </c>
      <c r="G87" t="str">
        <f t="shared" si="16"/>
        <v>Northeast</v>
      </c>
      <c r="H87" t="s">
        <v>30</v>
      </c>
      <c r="I87" t="str">
        <f t="shared" si="17"/>
        <v>Mobile App</v>
      </c>
      <c r="J87">
        <v>21240</v>
      </c>
      <c r="K87" t="s">
        <v>2</v>
      </c>
      <c r="L87" t="str">
        <f t="shared" si="18"/>
        <v>Home Office</v>
      </c>
      <c r="M87" t="s">
        <v>23</v>
      </c>
      <c r="N87" t="str">
        <f t="shared" si="19"/>
        <v>Electronics</v>
      </c>
      <c r="O87" t="s">
        <v>25</v>
      </c>
      <c r="P87" t="str">
        <f>IF(LEN(TRIM(Table1[[#This Row],[subcategory]]&amp;""))=0,"Unknown", PROPER(TRIM(Table1[[#This Row],[subcategory]])))</f>
        <v>Laptops</v>
      </c>
      <c r="Q87">
        <v>75.959999999999994</v>
      </c>
      <c r="R87" s="1">
        <f t="shared" si="20"/>
        <v>75.959999999999994</v>
      </c>
      <c r="S87">
        <v>2</v>
      </c>
      <c r="T87">
        <f t="shared" si="21"/>
        <v>2</v>
      </c>
      <c r="U87">
        <v>151.91999999999999</v>
      </c>
      <c r="V87" s="1">
        <f t="shared" si="22"/>
        <v>151.91999999999999</v>
      </c>
      <c r="W87" s="1">
        <v>87.657839999999993</v>
      </c>
      <c r="X87" s="1">
        <f t="shared" si="23"/>
        <v>87.657839999999993</v>
      </c>
      <c r="Y87" s="5" t="s">
        <v>68</v>
      </c>
      <c r="Z87" s="4" cm="1">
        <f t="array" ref="Z87">IF(
    LEN(TRIM(Y87&amp;""))=0,
        IF(AND(ISNUMBER(net_sales_clean), ISNUMBER(profit_clean)),
            net_sales_clean - profit_clean,
            ""
        ),
    VALUE(SUBSTITUTE(Y87,"$",""))
)</f>
        <v>54.417440992483698</v>
      </c>
      <c r="AA87" s="5" t="s">
        <v>67</v>
      </c>
      <c r="AB87" s="4" cm="1">
        <f t="array" ref="AB87">IF(
    LEN(TRIM(AA87&amp;""))=0,
        IF(AND(ISNUMBER(net_sales_clean), ISNUMBER(cost_clean)),
            net_sales_clean - cost_clean,
            ""
        ),
    VALUE(SUBSTITUTE(AA87,"$",""))
)</f>
        <v>33.240399007516203</v>
      </c>
      <c r="AC87">
        <v>9</v>
      </c>
      <c r="AD87">
        <f t="shared" si="24"/>
        <v>9</v>
      </c>
      <c r="AE87">
        <v>5</v>
      </c>
      <c r="AF87">
        <f t="shared" si="25"/>
        <v>5</v>
      </c>
      <c r="AG87">
        <v>0</v>
      </c>
      <c r="AH87">
        <f t="shared" si="26"/>
        <v>0</v>
      </c>
      <c r="AI87" t="str">
        <f t="shared" si="27"/>
        <v>Complete</v>
      </c>
    </row>
    <row r="88" spans="1:35">
      <c r="A88">
        <v>21786</v>
      </c>
      <c r="B88" s="6">
        <v>45472.907476851855</v>
      </c>
      <c r="C88" s="3">
        <f t="shared" si="14"/>
        <v>45472</v>
      </c>
      <c r="D88" s="2">
        <f t="shared" si="15"/>
        <v>0.90747685185488081</v>
      </c>
      <c r="E88">
        <v>48</v>
      </c>
      <c r="F88" t="s">
        <v>21</v>
      </c>
      <c r="G88" t="str">
        <f t="shared" si="16"/>
        <v>Midwest</v>
      </c>
      <c r="H88" t="s">
        <v>30</v>
      </c>
      <c r="I88" t="str">
        <f t="shared" si="17"/>
        <v>Mobile App</v>
      </c>
      <c r="J88">
        <v>14264</v>
      </c>
      <c r="K88" t="s">
        <v>14</v>
      </c>
      <c r="L88" t="str">
        <f t="shared" si="18"/>
        <v>Consumer</v>
      </c>
      <c r="M88" t="s">
        <v>23</v>
      </c>
      <c r="N88" t="str">
        <f t="shared" si="19"/>
        <v>Electronics</v>
      </c>
      <c r="O88" t="s">
        <v>25</v>
      </c>
      <c r="P88" t="str">
        <f>IF(LEN(TRIM(Table1[[#This Row],[subcategory]]&amp;""))=0,"Unknown", PROPER(TRIM(Table1[[#This Row],[subcategory]])))</f>
        <v>Laptops</v>
      </c>
      <c r="Q88">
        <v>32.43</v>
      </c>
      <c r="R88" s="1">
        <f t="shared" si="20"/>
        <v>32.43</v>
      </c>
      <c r="S88">
        <v>2</v>
      </c>
      <c r="T88">
        <f t="shared" si="21"/>
        <v>2</v>
      </c>
      <c r="U88">
        <v>64.86</v>
      </c>
      <c r="V88" s="1">
        <f t="shared" si="22"/>
        <v>64.86</v>
      </c>
      <c r="W88" s="1">
        <v>50.007060000000003</v>
      </c>
      <c r="X88" s="1">
        <f t="shared" si="23"/>
        <v>50.007060000000003</v>
      </c>
      <c r="Y88" s="5" t="s">
        <v>66</v>
      </c>
      <c r="Z88" s="4" cm="1">
        <f t="array" ref="Z88">IF(
    LEN(TRIM(Y88&amp;""))=0,
        IF(AND(ISNUMBER(net_sales_clean), ISNUMBER(profit_clean)),
            net_sales_clean - profit_clean,
            ""
        ),
    VALUE(SUBSTITUTE(Y88,"$",""))
)</f>
        <v>33.087060177590097</v>
      </c>
      <c r="AA88">
        <v>16.919999822409899</v>
      </c>
      <c r="AB88" s="1" cm="1">
        <f t="array" ref="AB88">IF(
    LEN(TRIM(AA88&amp;""))=0,
        IF(AND(ISNUMBER(net_sales_clean), ISNUMBER(cost_clean)),
            net_sales_clean - cost_clean,
            ""
        ),
    VALUE(SUBSTITUTE(AA88,"$",""))
)</f>
        <v>16.919999822409899</v>
      </c>
      <c r="AC88">
        <v>1</v>
      </c>
      <c r="AD88">
        <f t="shared" si="24"/>
        <v>1</v>
      </c>
      <c r="AE88">
        <v>3</v>
      </c>
      <c r="AF88">
        <f t="shared" si="25"/>
        <v>3</v>
      </c>
      <c r="AG88">
        <v>0</v>
      </c>
      <c r="AH88">
        <f t="shared" si="26"/>
        <v>0</v>
      </c>
      <c r="AI88" t="str">
        <f t="shared" si="27"/>
        <v>Complete</v>
      </c>
    </row>
    <row r="89" spans="1:35">
      <c r="A89">
        <v>20985</v>
      </c>
      <c r="B89" s="6">
        <v>45751.514872685184</v>
      </c>
      <c r="C89" s="3">
        <f t="shared" si="14"/>
        <v>45751</v>
      </c>
      <c r="D89" s="2">
        <f t="shared" si="15"/>
        <v>0.51487268518394558</v>
      </c>
      <c r="E89">
        <v>23</v>
      </c>
      <c r="F89" t="s">
        <v>15</v>
      </c>
      <c r="G89" t="str">
        <f t="shared" si="16"/>
        <v>West</v>
      </c>
      <c r="H89" t="s">
        <v>3</v>
      </c>
      <c r="I89" t="str">
        <f t="shared" si="17"/>
        <v>Phone</v>
      </c>
      <c r="J89">
        <v>26498</v>
      </c>
      <c r="K89" t="s">
        <v>2</v>
      </c>
      <c r="L89" t="str">
        <f t="shared" si="18"/>
        <v>Home Office</v>
      </c>
      <c r="M89" t="s">
        <v>23</v>
      </c>
      <c r="N89" t="str">
        <f t="shared" si="19"/>
        <v>Electronics</v>
      </c>
      <c r="O89" t="s">
        <v>34</v>
      </c>
      <c r="P89" t="str">
        <f>IF(LEN(TRIM(Table1[[#This Row],[subcategory]]&amp;""))=0,"Unknown", PROPER(TRIM(Table1[[#This Row],[subcategory]])))</f>
        <v>Phones</v>
      </c>
      <c r="Q89">
        <v>63.07</v>
      </c>
      <c r="R89" s="1">
        <f t="shared" si="20"/>
        <v>63.07</v>
      </c>
      <c r="S89">
        <v>0</v>
      </c>
      <c r="T89">
        <f t="shared" si="21"/>
        <v>0</v>
      </c>
      <c r="U89">
        <v>0</v>
      </c>
      <c r="V89" s="1">
        <f t="shared" si="22"/>
        <v>0</v>
      </c>
      <c r="W89" s="1">
        <v>0</v>
      </c>
      <c r="X89" s="1">
        <f t="shared" si="23"/>
        <v>0</v>
      </c>
      <c r="Y89">
        <v>0</v>
      </c>
      <c r="Z89" s="1" cm="1">
        <f t="array" ref="Z89">IF(
    LEN(TRIM(Y89&amp;""))=0,
        IF(AND(ISNUMBER(net_sales_clean), ISNUMBER(profit_clean)),
            net_sales_clean - profit_clean,
            ""
        ),
    VALUE(SUBSTITUTE(Y89,"$",""))
)</f>
        <v>0</v>
      </c>
      <c r="AA89">
        <v>0</v>
      </c>
      <c r="AB89" s="1" cm="1">
        <f t="array" ref="AB89">IF(
    LEN(TRIM(AA89&amp;""))=0,
        IF(AND(ISNUMBER(net_sales_clean), ISNUMBER(cost_clean)),
            net_sales_clean - cost_clean,
            ""
        ),
    VALUE(SUBSTITUTE(AA89,"$",""))
)</f>
        <v>0</v>
      </c>
      <c r="AC89">
        <v>8</v>
      </c>
      <c r="AD89">
        <f t="shared" si="24"/>
        <v>8</v>
      </c>
      <c r="AE89">
        <v>1</v>
      </c>
      <c r="AF89">
        <f t="shared" si="25"/>
        <v>1</v>
      </c>
      <c r="AG89">
        <v>0</v>
      </c>
      <c r="AH89">
        <f t="shared" si="26"/>
        <v>0</v>
      </c>
      <c r="AI89" t="str">
        <f t="shared" si="27"/>
        <v>Incomplete</v>
      </c>
    </row>
    <row r="90" spans="1:35">
      <c r="A90">
        <v>48540</v>
      </c>
      <c r="B90" s="6">
        <v>44933.760335648149</v>
      </c>
      <c r="C90" s="3">
        <f t="shared" si="14"/>
        <v>44933</v>
      </c>
      <c r="D90" s="2">
        <f t="shared" si="15"/>
        <v>0.76033564814861165</v>
      </c>
      <c r="E90">
        <v>66</v>
      </c>
      <c r="F90" t="s">
        <v>13</v>
      </c>
      <c r="G90" t="str">
        <f t="shared" si="16"/>
        <v>Northeast</v>
      </c>
      <c r="H90" t="s">
        <v>17</v>
      </c>
      <c r="I90" t="str">
        <f t="shared" si="17"/>
        <v>Online</v>
      </c>
      <c r="J90">
        <v>15160</v>
      </c>
      <c r="K90" t="s">
        <v>2</v>
      </c>
      <c r="L90" t="str">
        <f t="shared" si="18"/>
        <v>Home Office</v>
      </c>
      <c r="M90" t="s">
        <v>1</v>
      </c>
      <c r="N90" t="str">
        <f t="shared" si="19"/>
        <v>Beauty</v>
      </c>
      <c r="O90" t="s">
        <v>5</v>
      </c>
      <c r="P90" t="str">
        <f>IF(LEN(TRIM(Table1[[#This Row],[subcategory]]&amp;""))=0,"Unknown", PROPER(TRIM(Table1[[#This Row],[subcategory]])))</f>
        <v>Haircare</v>
      </c>
      <c r="Q90">
        <v>51.57</v>
      </c>
      <c r="R90" s="1">
        <f t="shared" si="20"/>
        <v>51.57</v>
      </c>
      <c r="S90">
        <v>1</v>
      </c>
      <c r="T90">
        <f t="shared" si="21"/>
        <v>1</v>
      </c>
      <c r="U90">
        <v>51.57</v>
      </c>
      <c r="V90" s="1">
        <f t="shared" si="22"/>
        <v>51.57</v>
      </c>
      <c r="W90" s="4" t="s">
        <v>65</v>
      </c>
      <c r="X90" s="4">
        <f t="shared" si="23"/>
        <v>42.545249999999903</v>
      </c>
      <c r="Y90" s="5" t="s">
        <v>64</v>
      </c>
      <c r="Z90" s="4" cm="1">
        <f t="array" ref="Z90">IF(
    LEN(TRIM(Y90&amp;""))=0,
        IF(AND(ISNUMBER(net_sales_clean), ISNUMBER(profit_clean)),
            net_sales_clean - profit_clean,
            ""
        ),
    VALUE(SUBSTITUTE(Y90,"$",""))
)</f>
        <v>25.945819578105802</v>
      </c>
      <c r="AA90" s="5" t="s">
        <v>63</v>
      </c>
      <c r="AB90" s="4" cm="1">
        <f t="array" ref="AB90">IF(
    LEN(TRIM(AA90&amp;""))=0,
        IF(AND(ISNUMBER(net_sales_clean), ISNUMBER(cost_clean)),
            net_sales_clean - cost_clean,
            ""
        ),
    VALUE(SUBSTITUTE(AA90,"$",""))
)</f>
        <v>16.599430421894098</v>
      </c>
      <c r="AC90">
        <v>6</v>
      </c>
      <c r="AD90">
        <f t="shared" si="24"/>
        <v>6</v>
      </c>
      <c r="AE90">
        <v>3</v>
      </c>
      <c r="AF90">
        <f t="shared" si="25"/>
        <v>3</v>
      </c>
      <c r="AG90">
        <v>0</v>
      </c>
      <c r="AH90">
        <f t="shared" si="26"/>
        <v>0</v>
      </c>
      <c r="AI90" t="str">
        <f t="shared" si="27"/>
        <v>Complete</v>
      </c>
    </row>
    <row r="91" spans="1:35">
      <c r="A91">
        <v>40695</v>
      </c>
      <c r="B91" s="6">
        <v>45415.442175925928</v>
      </c>
      <c r="C91" s="3">
        <f t="shared" si="14"/>
        <v>45415</v>
      </c>
      <c r="D91" s="2">
        <f t="shared" si="15"/>
        <v>0.44217592592758592</v>
      </c>
      <c r="E91">
        <v>22</v>
      </c>
      <c r="F91" t="s">
        <v>8</v>
      </c>
      <c r="G91" t="str">
        <f t="shared" si="16"/>
        <v>West</v>
      </c>
      <c r="H91" t="s">
        <v>27</v>
      </c>
      <c r="I91" t="str">
        <f t="shared" si="17"/>
        <v>In Store</v>
      </c>
      <c r="J91">
        <v>6719</v>
      </c>
      <c r="K91" t="s">
        <v>10</v>
      </c>
      <c r="L91" t="str">
        <f t="shared" si="18"/>
        <v>Consumer</v>
      </c>
      <c r="M91" t="s">
        <v>16</v>
      </c>
      <c r="N91" t="str">
        <f t="shared" si="19"/>
        <v>Grocery</v>
      </c>
      <c r="O91" t="s">
        <v>29</v>
      </c>
      <c r="P91" t="str">
        <f>IF(LEN(TRIM(Table1[[#This Row],[subcategory]]&amp;""))=0,"Unknown", PROPER(TRIM(Table1[[#This Row],[subcategory]])))</f>
        <v>Beverages</v>
      </c>
      <c r="Q91">
        <v>145.08000000000001</v>
      </c>
      <c r="R91" s="1">
        <f t="shared" si="20"/>
        <v>145.08000000000001</v>
      </c>
      <c r="S91">
        <v>2</v>
      </c>
      <c r="T91">
        <f t="shared" si="21"/>
        <v>2</v>
      </c>
      <c r="U91">
        <v>290.16000000000003</v>
      </c>
      <c r="V91" s="1">
        <f t="shared" si="22"/>
        <v>290.16000000000003</v>
      </c>
      <c r="W91" s="1">
        <v>128.83104</v>
      </c>
      <c r="X91" s="1">
        <f t="shared" si="23"/>
        <v>128.83104</v>
      </c>
      <c r="Z91" s="1" t="str" cm="1">
        <f t="array" ref="Z91">IF(
    LEN(TRIM(Y91&amp;""))=0,
        IF(AND(ISNUMBER(net_sales_clean), ISNUMBER(profit_clean)),
            net_sales_clean - profit_clean,
            ""
        ),
    VALUE(SUBSTITUTE(Y91,"$",""))
)</f>
        <v/>
      </c>
      <c r="AB91" s="1" t="str" cm="1">
        <f t="array" ref="AB91">IF(
    LEN(TRIM(AA91&amp;""))=0,
        IF(AND(ISNUMBER(net_sales_clean), ISNUMBER(cost_clean)),
            net_sales_clean - cost_clean,
            ""
        ),
    VALUE(SUBSTITUTE(AA91,"$",""))
)</f>
        <v/>
      </c>
      <c r="AC91">
        <v>4</v>
      </c>
      <c r="AD91">
        <f t="shared" si="24"/>
        <v>4</v>
      </c>
      <c r="AE91">
        <v>2</v>
      </c>
      <c r="AF91">
        <f t="shared" si="25"/>
        <v>2</v>
      </c>
      <c r="AG91">
        <v>0</v>
      </c>
      <c r="AH91">
        <f t="shared" si="26"/>
        <v>0</v>
      </c>
      <c r="AI91" t="str">
        <f t="shared" si="27"/>
        <v>Incomplete</v>
      </c>
    </row>
    <row r="92" spans="1:35">
      <c r="A92">
        <v>8441</v>
      </c>
      <c r="B92" s="6">
        <v>45855.010405092595</v>
      </c>
      <c r="C92" s="3">
        <f t="shared" si="14"/>
        <v>45855</v>
      </c>
      <c r="D92" s="2">
        <f t="shared" si="15"/>
        <v>1.0405092594737653E-2</v>
      </c>
      <c r="E92">
        <v>18</v>
      </c>
      <c r="F92" t="s">
        <v>15</v>
      </c>
      <c r="G92" t="str">
        <f t="shared" si="16"/>
        <v>West</v>
      </c>
      <c r="H92" t="s">
        <v>30</v>
      </c>
      <c r="I92" t="str">
        <f t="shared" si="17"/>
        <v>Mobile App</v>
      </c>
      <c r="J92">
        <v>4600</v>
      </c>
      <c r="K92" t="s">
        <v>14</v>
      </c>
      <c r="L92" t="str">
        <f t="shared" si="18"/>
        <v>Consumer</v>
      </c>
      <c r="M92" t="s">
        <v>19</v>
      </c>
      <c r="N92" t="str">
        <f t="shared" si="19"/>
        <v>Apparel</v>
      </c>
      <c r="O92" t="s">
        <v>18</v>
      </c>
      <c r="P92" t="str">
        <f>IF(LEN(TRIM(Table1[[#This Row],[subcategory]]&amp;""))=0,"Unknown", PROPER(TRIM(Table1[[#This Row],[subcategory]])))</f>
        <v>Men</v>
      </c>
      <c r="Q92">
        <v>89.42</v>
      </c>
      <c r="R92" s="1">
        <f t="shared" si="20"/>
        <v>89.42</v>
      </c>
      <c r="S92">
        <v>1</v>
      </c>
      <c r="T92">
        <f t="shared" si="21"/>
        <v>1</v>
      </c>
      <c r="U92">
        <v>89.42</v>
      </c>
      <c r="V92" s="1">
        <f t="shared" si="22"/>
        <v>89.42</v>
      </c>
      <c r="W92" s="1">
        <v>77.974239999999995</v>
      </c>
      <c r="X92" s="1">
        <f t="shared" si="23"/>
        <v>77.974239999999995</v>
      </c>
      <c r="Y92" s="5" t="s">
        <v>62</v>
      </c>
      <c r="Z92" s="4" cm="1">
        <f t="array" ref="Z92">IF(
    LEN(TRIM(Y92&amp;""))=0,
        IF(AND(ISNUMBER(net_sales_clean), ISNUMBER(profit_clean)),
            net_sales_clean - profit_clean,
            ""
        ),
    VALUE(SUBSTITUTE(Y92,"$",""))
)</f>
        <v>55.863892927728898</v>
      </c>
      <c r="AA92" s="5" t="s">
        <v>61</v>
      </c>
      <c r="AB92" s="4" cm="1">
        <f t="array" ref="AB92">IF(
    LEN(TRIM(AA92&amp;""))=0,
        IF(AND(ISNUMBER(net_sales_clean), ISNUMBER(cost_clean)),
            net_sales_clean - cost_clean,
            ""
        ),
    VALUE(SUBSTITUTE(AA92,"$",""))
)</f>
        <v>22.110347072271001</v>
      </c>
      <c r="AC92">
        <v>1</v>
      </c>
      <c r="AD92">
        <f t="shared" si="24"/>
        <v>1</v>
      </c>
      <c r="AE92">
        <v>1</v>
      </c>
      <c r="AF92">
        <f t="shared" si="25"/>
        <v>1</v>
      </c>
      <c r="AG92">
        <v>0</v>
      </c>
      <c r="AH92">
        <f t="shared" si="26"/>
        <v>0</v>
      </c>
      <c r="AI92" t="str">
        <f t="shared" si="27"/>
        <v>Complete</v>
      </c>
    </row>
    <row r="93" spans="1:35">
      <c r="A93">
        <v>9952</v>
      </c>
      <c r="B93" s="6">
        <v>45908.019525462965</v>
      </c>
      <c r="C93" s="3">
        <f t="shared" si="14"/>
        <v>45908</v>
      </c>
      <c r="D93" s="2">
        <f t="shared" si="15"/>
        <v>1.9525462965248153E-2</v>
      </c>
      <c r="E93">
        <v>71</v>
      </c>
      <c r="F93" t="s">
        <v>21</v>
      </c>
      <c r="G93" t="str">
        <f t="shared" si="16"/>
        <v>Midwest</v>
      </c>
      <c r="H93" t="s">
        <v>27</v>
      </c>
      <c r="I93" t="str">
        <f t="shared" si="17"/>
        <v>In Store</v>
      </c>
      <c r="J93">
        <v>6854</v>
      </c>
      <c r="K93" t="s">
        <v>14</v>
      </c>
      <c r="L93" t="str">
        <f t="shared" si="18"/>
        <v>Consumer</v>
      </c>
      <c r="M93" t="s">
        <v>1</v>
      </c>
      <c r="N93" t="str">
        <f t="shared" si="19"/>
        <v>Beauty</v>
      </c>
      <c r="P93" t="str">
        <f>IF(LEN(TRIM(Table1[[#This Row],[subcategory]]&amp;""))=0,"Unknown", PROPER(TRIM(Table1[[#This Row],[subcategory]])))</f>
        <v>Unknown</v>
      </c>
      <c r="Q93">
        <v>65.95</v>
      </c>
      <c r="R93" s="1">
        <f t="shared" si="20"/>
        <v>65.95</v>
      </c>
      <c r="S93">
        <v>4</v>
      </c>
      <c r="T93">
        <f t="shared" si="21"/>
        <v>4</v>
      </c>
      <c r="U93">
        <v>263.8</v>
      </c>
      <c r="V93" s="1">
        <f t="shared" si="22"/>
        <v>263.8</v>
      </c>
      <c r="W93" s="1">
        <v>205.2364</v>
      </c>
      <c r="X93" s="1">
        <f t="shared" si="23"/>
        <v>205.2364</v>
      </c>
      <c r="Z93" s="1" t="str" cm="1">
        <f t="array" ref="Z93">IF(
    LEN(TRIM(Y93&amp;""))=0,
        IF(AND(ISNUMBER(net_sales_clean), ISNUMBER(profit_clean)),
            net_sales_clean - profit_clean,
            ""
        ),
    VALUE(SUBSTITUTE(Y93,"$",""))
)</f>
        <v/>
      </c>
      <c r="AB93" s="1" t="str" cm="1">
        <f t="array" ref="AB93">IF(
    LEN(TRIM(AA93&amp;""))=0,
        IF(AND(ISNUMBER(net_sales_clean), ISNUMBER(cost_clean)),
            net_sales_clean - cost_clean,
            ""
        ),
    VALUE(SUBSTITUTE(AA93,"$",""))
)</f>
        <v/>
      </c>
      <c r="AC93">
        <v>9</v>
      </c>
      <c r="AD93">
        <f t="shared" si="24"/>
        <v>9</v>
      </c>
      <c r="AE93">
        <v>1</v>
      </c>
      <c r="AF93">
        <f t="shared" si="25"/>
        <v>1</v>
      </c>
      <c r="AG93">
        <v>0</v>
      </c>
      <c r="AH93">
        <f t="shared" si="26"/>
        <v>0</v>
      </c>
      <c r="AI93" t="str">
        <f t="shared" si="27"/>
        <v>Incomplete</v>
      </c>
    </row>
    <row r="94" spans="1:35">
      <c r="A94">
        <v>1335</v>
      </c>
      <c r="B94" s="6">
        <v>45481.812731481485</v>
      </c>
      <c r="C94" s="3">
        <f t="shared" si="14"/>
        <v>45481</v>
      </c>
      <c r="D94" s="2">
        <f t="shared" si="15"/>
        <v>0.81273148148466134</v>
      </c>
      <c r="E94">
        <v>83</v>
      </c>
      <c r="F94" t="s">
        <v>21</v>
      </c>
      <c r="G94" t="str">
        <f t="shared" si="16"/>
        <v>Midwest</v>
      </c>
      <c r="H94" t="s">
        <v>17</v>
      </c>
      <c r="I94" t="str">
        <f t="shared" si="17"/>
        <v>Online</v>
      </c>
      <c r="J94">
        <v>21466</v>
      </c>
      <c r="K94" t="s">
        <v>6</v>
      </c>
      <c r="L94" t="str">
        <f t="shared" si="18"/>
        <v>Corporate</v>
      </c>
      <c r="M94" t="s">
        <v>1</v>
      </c>
      <c r="N94" t="str">
        <f t="shared" si="19"/>
        <v>Beauty</v>
      </c>
      <c r="O94" t="s">
        <v>38</v>
      </c>
      <c r="P94" t="str">
        <f>IF(LEN(TRIM(Table1[[#This Row],[subcategory]]&amp;""))=0,"Unknown", PROPER(TRIM(Table1[[#This Row],[subcategory]])))</f>
        <v>Fragrance</v>
      </c>
      <c r="Q94">
        <v>47.77</v>
      </c>
      <c r="R94" s="1">
        <f t="shared" si="20"/>
        <v>47.77</v>
      </c>
      <c r="S94">
        <v>3</v>
      </c>
      <c r="T94">
        <f t="shared" si="21"/>
        <v>3</v>
      </c>
      <c r="U94">
        <v>143.31</v>
      </c>
      <c r="V94" s="1">
        <f t="shared" si="22"/>
        <v>143.31</v>
      </c>
      <c r="W94" s="1">
        <v>122.95998</v>
      </c>
      <c r="X94" s="1">
        <f t="shared" si="23"/>
        <v>122.95998</v>
      </c>
      <c r="Y94" s="5" t="s">
        <v>60</v>
      </c>
      <c r="Z94" s="4" cm="1">
        <f t="array" ref="Z94">IF(
    LEN(TRIM(Y94&amp;""))=0,
        IF(AND(ISNUMBER(net_sales_clean), ISNUMBER(profit_clean)),
            net_sales_clean - profit_clean,
            ""
        ),
    VALUE(SUBSTITUTE(Y94,"$",""))
)</f>
        <v>89.134804713860106</v>
      </c>
      <c r="AA94" s="5" t="s">
        <v>59</v>
      </c>
      <c r="AB94" s="4" cm="1">
        <f t="array" ref="AB94">IF(
    LEN(TRIM(AA94&amp;""))=0,
        IF(AND(ISNUMBER(net_sales_clean), ISNUMBER(cost_clean)),
            net_sales_clean - cost_clean,
            ""
        ),
    VALUE(SUBSTITUTE(AA94,"$",""))
)</f>
        <v>33.825175286139803</v>
      </c>
      <c r="AC94">
        <v>2</v>
      </c>
      <c r="AD94">
        <f t="shared" si="24"/>
        <v>2</v>
      </c>
      <c r="AF94" t="str">
        <f t="shared" si="25"/>
        <v/>
      </c>
      <c r="AG94">
        <v>0</v>
      </c>
      <c r="AH94">
        <f t="shared" si="26"/>
        <v>0</v>
      </c>
      <c r="AI94" t="str">
        <f t="shared" si="27"/>
        <v>Complete</v>
      </c>
    </row>
    <row r="95" spans="1:35">
      <c r="A95">
        <v>32573</v>
      </c>
      <c r="B95" s="6">
        <v>45415.513645833336</v>
      </c>
      <c r="C95" s="3">
        <f t="shared" si="14"/>
        <v>45415</v>
      </c>
      <c r="D95" s="2">
        <f t="shared" si="15"/>
        <v>0.51364583333634073</v>
      </c>
      <c r="E95">
        <v>2</v>
      </c>
      <c r="F95" t="s">
        <v>8</v>
      </c>
      <c r="G95" t="str">
        <f t="shared" si="16"/>
        <v>West</v>
      </c>
      <c r="H95" t="s">
        <v>27</v>
      </c>
      <c r="I95" t="str">
        <f t="shared" si="17"/>
        <v>In Store</v>
      </c>
      <c r="J95">
        <v>9211</v>
      </c>
      <c r="K95" t="s">
        <v>10</v>
      </c>
      <c r="L95" t="str">
        <f t="shared" si="18"/>
        <v>Consumer</v>
      </c>
      <c r="M95" t="s">
        <v>23</v>
      </c>
      <c r="N95" t="str">
        <f t="shared" si="19"/>
        <v>Electronics</v>
      </c>
      <c r="P95" t="str">
        <f>IF(LEN(TRIM(Table1[[#This Row],[subcategory]]&amp;""))=0,"Unknown", PROPER(TRIM(Table1[[#This Row],[subcategory]])))</f>
        <v>Unknown</v>
      </c>
      <c r="Q95">
        <v>55.24</v>
      </c>
      <c r="R95" s="1">
        <f t="shared" si="20"/>
        <v>55.24</v>
      </c>
      <c r="S95">
        <v>4</v>
      </c>
      <c r="T95">
        <f t="shared" si="21"/>
        <v>4</v>
      </c>
      <c r="U95">
        <v>220.96</v>
      </c>
      <c r="V95" s="1">
        <f t="shared" si="22"/>
        <v>220.96</v>
      </c>
      <c r="W95" s="4" t="s">
        <v>58</v>
      </c>
      <c r="X95" s="4">
        <f t="shared" si="23"/>
        <v>121.08608</v>
      </c>
      <c r="Y95" s="5" t="s">
        <v>57</v>
      </c>
      <c r="Z95" s="4" cm="1">
        <f t="array" ref="Z95">IF(
    LEN(TRIM(Y95&amp;""))=0,
        IF(AND(ISNUMBER(net_sales_clean), ISNUMBER(profit_clean)),
            net_sales_clean - profit_clean,
            ""
        ),
    VALUE(SUBSTITUTE(Y95,"$",""))
)</f>
        <v>95.585900627328201</v>
      </c>
      <c r="AA95" s="5" t="s">
        <v>56</v>
      </c>
      <c r="AB95" s="4" cm="1">
        <f t="array" ref="AB95">IF(
    LEN(TRIM(AA95&amp;""))=0,
        IF(AND(ISNUMBER(net_sales_clean), ISNUMBER(cost_clean)),
            net_sales_clean - cost_clean,
            ""
        ),
    VALUE(SUBSTITUTE(AA95,"$",""))
)</f>
        <v>25.500179372671699</v>
      </c>
      <c r="AC95">
        <v>1</v>
      </c>
      <c r="AD95">
        <f t="shared" si="24"/>
        <v>1</v>
      </c>
      <c r="AE95">
        <v>5</v>
      </c>
      <c r="AF95">
        <f t="shared" si="25"/>
        <v>5</v>
      </c>
      <c r="AG95">
        <v>0</v>
      </c>
      <c r="AH95">
        <f t="shared" si="26"/>
        <v>0</v>
      </c>
      <c r="AI95" t="str">
        <f t="shared" si="27"/>
        <v>Complete</v>
      </c>
    </row>
    <row r="96" spans="1:35">
      <c r="A96">
        <v>28345</v>
      </c>
      <c r="B96" s="6">
        <v>45346.144131944442</v>
      </c>
      <c r="C96" s="3">
        <f t="shared" si="14"/>
        <v>45346</v>
      </c>
      <c r="D96" s="2">
        <f t="shared" si="15"/>
        <v>0.14413194444205146</v>
      </c>
      <c r="E96">
        <v>15</v>
      </c>
      <c r="F96" t="s">
        <v>15</v>
      </c>
      <c r="G96" t="str">
        <f t="shared" si="16"/>
        <v>West</v>
      </c>
      <c r="H96" t="s">
        <v>3</v>
      </c>
      <c r="I96" t="str">
        <f t="shared" si="17"/>
        <v>Phone</v>
      </c>
      <c r="J96">
        <v>132</v>
      </c>
      <c r="K96" t="s">
        <v>10</v>
      </c>
      <c r="L96" t="str">
        <f t="shared" si="18"/>
        <v>Consumer</v>
      </c>
      <c r="M96" t="s">
        <v>9</v>
      </c>
      <c r="N96" t="str">
        <f t="shared" si="19"/>
        <v>Home</v>
      </c>
      <c r="O96" t="s">
        <v>32</v>
      </c>
      <c r="P96" t="str">
        <f>IF(LEN(TRIM(Table1[[#This Row],[subcategory]]&amp;""))=0,"Unknown", PROPER(TRIM(Table1[[#This Row],[subcategory]])))</f>
        <v>Furniture</v>
      </c>
      <c r="Q96">
        <v>90.74</v>
      </c>
      <c r="R96" s="1">
        <f t="shared" si="20"/>
        <v>90.74</v>
      </c>
      <c r="S96">
        <v>0</v>
      </c>
      <c r="T96">
        <f t="shared" si="21"/>
        <v>0</v>
      </c>
      <c r="U96">
        <v>0</v>
      </c>
      <c r="V96" s="1">
        <f t="shared" si="22"/>
        <v>0</v>
      </c>
      <c r="W96" s="1">
        <v>0</v>
      </c>
      <c r="X96" s="1">
        <f t="shared" si="23"/>
        <v>0</v>
      </c>
      <c r="Y96">
        <v>0</v>
      </c>
      <c r="Z96" s="1" cm="1">
        <f t="array" ref="Z96">IF(
    LEN(TRIM(Y96&amp;""))=0,
        IF(AND(ISNUMBER(net_sales_clean), ISNUMBER(profit_clean)),
            net_sales_clean - profit_clean,
            ""
        ),
    VALUE(SUBSTITUTE(Y96,"$",""))
)</f>
        <v>0</v>
      </c>
      <c r="AA96">
        <v>0</v>
      </c>
      <c r="AB96" s="1" cm="1">
        <f t="array" ref="AB96">IF(
    LEN(TRIM(AA96&amp;""))=0,
        IF(AND(ISNUMBER(net_sales_clean), ISNUMBER(cost_clean)),
            net_sales_clean - cost_clean,
            ""
        ),
    VALUE(SUBSTITUTE(AA96,"$",""))
)</f>
        <v>0</v>
      </c>
      <c r="AC96">
        <v>4</v>
      </c>
      <c r="AD96">
        <f t="shared" si="24"/>
        <v>4</v>
      </c>
      <c r="AE96">
        <v>5</v>
      </c>
      <c r="AF96">
        <f t="shared" si="25"/>
        <v>5</v>
      </c>
      <c r="AG96">
        <v>0</v>
      </c>
      <c r="AH96">
        <f t="shared" si="26"/>
        <v>0</v>
      </c>
      <c r="AI96" t="str">
        <f t="shared" si="27"/>
        <v>Incomplete</v>
      </c>
    </row>
    <row r="97" spans="1:35">
      <c r="A97">
        <v>46504</v>
      </c>
      <c r="B97" s="6">
        <v>45841.012604166666</v>
      </c>
      <c r="C97" s="3">
        <f t="shared" si="14"/>
        <v>45841</v>
      </c>
      <c r="D97" s="2">
        <f t="shared" si="15"/>
        <v>1.2604166666278616E-2</v>
      </c>
      <c r="E97">
        <v>67</v>
      </c>
      <c r="F97" t="s">
        <v>13</v>
      </c>
      <c r="G97" t="str">
        <f t="shared" si="16"/>
        <v>Northeast</v>
      </c>
      <c r="H97" t="s">
        <v>17</v>
      </c>
      <c r="I97" t="str">
        <f t="shared" si="17"/>
        <v>Online</v>
      </c>
      <c r="J97">
        <v>308</v>
      </c>
      <c r="K97" t="s">
        <v>6</v>
      </c>
      <c r="L97" t="str">
        <f t="shared" si="18"/>
        <v>Corporate</v>
      </c>
      <c r="M97" t="s">
        <v>9</v>
      </c>
      <c r="N97" t="str">
        <f t="shared" si="19"/>
        <v>Home</v>
      </c>
      <c r="O97" t="s">
        <v>32</v>
      </c>
      <c r="P97" t="str">
        <f>IF(LEN(TRIM(Table1[[#This Row],[subcategory]]&amp;""))=0,"Unknown", PROPER(TRIM(Table1[[#This Row],[subcategory]])))</f>
        <v>Furniture</v>
      </c>
      <c r="Q97">
        <v>113.21</v>
      </c>
      <c r="R97" s="1">
        <f t="shared" si="20"/>
        <v>113.21</v>
      </c>
      <c r="S97">
        <v>1</v>
      </c>
      <c r="T97">
        <f t="shared" si="21"/>
        <v>1</v>
      </c>
      <c r="U97">
        <v>113.21</v>
      </c>
      <c r="V97" s="1">
        <f t="shared" si="22"/>
        <v>113.21</v>
      </c>
      <c r="W97" s="1">
        <v>70.416619999999995</v>
      </c>
      <c r="X97" s="1">
        <f t="shared" si="23"/>
        <v>70.416619999999995</v>
      </c>
      <c r="Y97" s="5" t="s">
        <v>55</v>
      </c>
      <c r="Z97" s="4" cm="1">
        <f t="array" ref="Z97">IF(
    LEN(TRIM(Y97&amp;""))=0,
        IF(AND(ISNUMBER(net_sales_clean), ISNUMBER(profit_clean)),
            net_sales_clean - profit_clean,
            ""
        ),
    VALUE(SUBSTITUTE(Y97,"$",""))
)</f>
        <v>47.649710188434497</v>
      </c>
      <c r="AA97" s="5" t="s">
        <v>54</v>
      </c>
      <c r="AB97" s="4" cm="1">
        <f t="array" ref="AB97">IF(
    LEN(TRIM(AA97&amp;""))=0,
        IF(AND(ISNUMBER(net_sales_clean), ISNUMBER(cost_clean)),
            net_sales_clean - cost_clean,
            ""
        ),
    VALUE(SUBSTITUTE(AA97,"$",""))
)</f>
        <v>22.766909811565402</v>
      </c>
      <c r="AC97">
        <v>1</v>
      </c>
      <c r="AD97">
        <f t="shared" si="24"/>
        <v>1</v>
      </c>
      <c r="AE97">
        <v>2</v>
      </c>
      <c r="AF97">
        <f t="shared" si="25"/>
        <v>2</v>
      </c>
      <c r="AG97">
        <v>1</v>
      </c>
      <c r="AH97">
        <f t="shared" si="26"/>
        <v>1</v>
      </c>
      <c r="AI97" t="str">
        <f t="shared" si="27"/>
        <v>Complete</v>
      </c>
    </row>
    <row r="98" spans="1:35">
      <c r="A98">
        <v>34483</v>
      </c>
      <c r="B98" s="6">
        <v>45185.948657407411</v>
      </c>
      <c r="C98" s="3">
        <f t="shared" si="14"/>
        <v>45185</v>
      </c>
      <c r="D98" s="2">
        <f t="shared" si="15"/>
        <v>0.94865740741079208</v>
      </c>
      <c r="E98">
        <v>20</v>
      </c>
      <c r="F98" t="s">
        <v>13</v>
      </c>
      <c r="G98" t="str">
        <f t="shared" si="16"/>
        <v>Northeast</v>
      </c>
      <c r="H98" t="s">
        <v>11</v>
      </c>
      <c r="I98" t="str">
        <f t="shared" si="17"/>
        <v>Online</v>
      </c>
      <c r="J98">
        <v>20769</v>
      </c>
      <c r="K98" t="s">
        <v>10</v>
      </c>
      <c r="L98" t="str">
        <f t="shared" si="18"/>
        <v>Consumer</v>
      </c>
      <c r="M98" t="s">
        <v>19</v>
      </c>
      <c r="N98" t="str">
        <f t="shared" si="19"/>
        <v>Apparel</v>
      </c>
      <c r="O98" t="s">
        <v>20</v>
      </c>
      <c r="P98" t="str">
        <f>IF(LEN(TRIM(Table1[[#This Row],[subcategory]]&amp;""))=0,"Unknown", PROPER(TRIM(Table1[[#This Row],[subcategory]])))</f>
        <v>Women</v>
      </c>
      <c r="Q98">
        <v>30.66</v>
      </c>
      <c r="R98" s="1">
        <f t="shared" si="20"/>
        <v>30.66</v>
      </c>
      <c r="S98">
        <v>4</v>
      </c>
      <c r="T98">
        <f t="shared" si="21"/>
        <v>4</v>
      </c>
      <c r="U98">
        <v>122.64</v>
      </c>
      <c r="V98" s="1">
        <f t="shared" si="22"/>
        <v>122.64</v>
      </c>
      <c r="W98" s="4" t="s">
        <v>53</v>
      </c>
      <c r="X98" s="4">
        <f t="shared" si="23"/>
        <v>85.602719999999906</v>
      </c>
      <c r="Y98" s="5" t="s">
        <v>52</v>
      </c>
      <c r="Z98" s="4" cm="1">
        <f t="array" ref="Z98">IF(
    LEN(TRIM(Y98&amp;""))=0,
        IF(AND(ISNUMBER(net_sales_clean), ISNUMBER(profit_clean)),
            net_sales_clean - profit_clean,
            ""
        ),
    VALUE(SUBSTITUTE(Y98,"$",""))
)</f>
        <v>59.448660372888099</v>
      </c>
      <c r="AA98" s="5" t="s">
        <v>51</v>
      </c>
      <c r="AB98" s="4" cm="1">
        <f t="array" ref="AB98">IF(
    LEN(TRIM(AA98&amp;""))=0,
        IF(AND(ISNUMBER(net_sales_clean), ISNUMBER(cost_clean)),
            net_sales_clean - cost_clean,
            ""
        ),
    VALUE(SUBSTITUTE(AA98,"$",""))
)</f>
        <v>26.154059627111799</v>
      </c>
      <c r="AC98">
        <v>2</v>
      </c>
      <c r="AD98">
        <f t="shared" si="24"/>
        <v>2</v>
      </c>
      <c r="AF98" t="str">
        <f t="shared" si="25"/>
        <v/>
      </c>
      <c r="AH98" t="str">
        <f t="shared" si="26"/>
        <v/>
      </c>
      <c r="AI98" t="str">
        <f t="shared" si="27"/>
        <v>Complete</v>
      </c>
    </row>
    <row r="99" spans="1:35">
      <c r="A99">
        <v>36272</v>
      </c>
      <c r="B99" s="6">
        <v>45193.577141203707</v>
      </c>
      <c r="C99" s="3">
        <f t="shared" si="14"/>
        <v>45193</v>
      </c>
      <c r="D99" s="2">
        <f t="shared" si="15"/>
        <v>0.57714120370656019</v>
      </c>
      <c r="E99">
        <v>17</v>
      </c>
      <c r="F99" t="s">
        <v>33</v>
      </c>
      <c r="G99" t="str">
        <f t="shared" si="16"/>
        <v>South</v>
      </c>
      <c r="H99" t="s">
        <v>30</v>
      </c>
      <c r="I99" t="str">
        <f t="shared" si="17"/>
        <v>Mobile App</v>
      </c>
      <c r="J99">
        <v>6008</v>
      </c>
      <c r="K99" t="s">
        <v>10</v>
      </c>
      <c r="L99" t="str">
        <f t="shared" si="18"/>
        <v>Consumer</v>
      </c>
      <c r="M99" t="s">
        <v>23</v>
      </c>
      <c r="N99" t="str">
        <f t="shared" si="19"/>
        <v>Electronics</v>
      </c>
      <c r="O99" t="s">
        <v>34</v>
      </c>
      <c r="P99" t="str">
        <f>IF(LEN(TRIM(Table1[[#This Row],[subcategory]]&amp;""))=0,"Unknown", PROPER(TRIM(Table1[[#This Row],[subcategory]])))</f>
        <v>Phones</v>
      </c>
      <c r="Q99">
        <v>38.090000000000003</v>
      </c>
      <c r="R99" s="1">
        <f t="shared" si="20"/>
        <v>38.090000000000003</v>
      </c>
      <c r="S99">
        <v>5</v>
      </c>
      <c r="T99">
        <f t="shared" si="21"/>
        <v>5</v>
      </c>
      <c r="U99" s="5" t="s">
        <v>50</v>
      </c>
      <c r="V99" s="4">
        <f t="shared" si="22"/>
        <v>190.45</v>
      </c>
      <c r="W99" s="1">
        <v>164.35835</v>
      </c>
      <c r="X99" s="1">
        <f t="shared" si="23"/>
        <v>164.35835</v>
      </c>
      <c r="Y99" s="5" t="s">
        <v>49</v>
      </c>
      <c r="Z99" s="4" cm="1">
        <f t="array" ref="Z99">IF(
    LEN(TRIM(Y99&amp;""))=0,
        IF(AND(ISNUMBER(net_sales_clean), ISNUMBER(profit_clean)),
            net_sales_clean - profit_clean,
            ""
        ),
    VALUE(SUBSTITUTE(Y99,"$",""))
)</f>
        <v>132.72371674891801</v>
      </c>
      <c r="AA99" s="5" t="s">
        <v>48</v>
      </c>
      <c r="AB99" s="4" cm="1">
        <f t="array" ref="AB99">IF(
    LEN(TRIM(AA99&amp;""))=0,
        IF(AND(ISNUMBER(net_sales_clean), ISNUMBER(cost_clean)),
            net_sales_clean - cost_clean,
            ""
        ),
    VALUE(SUBSTITUTE(AA99,"$",""))
)</f>
        <v>31.634633251081599</v>
      </c>
      <c r="AC99">
        <v>8</v>
      </c>
      <c r="AD99">
        <f t="shared" si="24"/>
        <v>8</v>
      </c>
      <c r="AE99">
        <v>2</v>
      </c>
      <c r="AF99">
        <f t="shared" si="25"/>
        <v>2</v>
      </c>
      <c r="AG99">
        <v>0</v>
      </c>
      <c r="AH99">
        <f t="shared" si="26"/>
        <v>0</v>
      </c>
      <c r="AI99" t="str">
        <f t="shared" si="27"/>
        <v>Complete</v>
      </c>
    </row>
    <row r="100" spans="1:35">
      <c r="A100">
        <v>36875</v>
      </c>
      <c r="B100" s="6">
        <v>45596.170219907406</v>
      </c>
      <c r="C100" s="3">
        <f t="shared" si="14"/>
        <v>45596</v>
      </c>
      <c r="D100" s="2">
        <f t="shared" si="15"/>
        <v>0.17021990740613546</v>
      </c>
      <c r="E100">
        <v>55</v>
      </c>
      <c r="F100" t="s">
        <v>21</v>
      </c>
      <c r="G100" t="str">
        <f t="shared" si="16"/>
        <v>Midwest</v>
      </c>
      <c r="H100" t="s">
        <v>30</v>
      </c>
      <c r="I100" t="str">
        <f t="shared" si="17"/>
        <v>Mobile App</v>
      </c>
      <c r="J100">
        <v>8389</v>
      </c>
      <c r="K100" t="s">
        <v>2</v>
      </c>
      <c r="L100" t="str">
        <f t="shared" si="18"/>
        <v>Home Office</v>
      </c>
      <c r="M100" t="s">
        <v>23</v>
      </c>
      <c r="N100" t="str">
        <f t="shared" si="19"/>
        <v>Electronics</v>
      </c>
      <c r="O100" t="s">
        <v>39</v>
      </c>
      <c r="P100" t="str">
        <f>IF(LEN(TRIM(Table1[[#This Row],[subcategory]]&amp;""))=0,"Unknown", PROPER(TRIM(Table1[[#This Row],[subcategory]])))</f>
        <v>Accessories</v>
      </c>
      <c r="Q100">
        <v>59.8</v>
      </c>
      <c r="R100" s="1">
        <f t="shared" si="20"/>
        <v>59.8</v>
      </c>
      <c r="S100">
        <v>3</v>
      </c>
      <c r="T100">
        <f t="shared" si="21"/>
        <v>3</v>
      </c>
      <c r="U100" s="5" t="s">
        <v>42</v>
      </c>
      <c r="V100" s="4">
        <f t="shared" si="22"/>
        <v>179.39999999999901</v>
      </c>
      <c r="W100" s="4" t="s">
        <v>47</v>
      </c>
      <c r="X100" s="4">
        <f t="shared" si="23"/>
        <v>152.48999999999899</v>
      </c>
      <c r="Y100" s="5" t="s">
        <v>46</v>
      </c>
      <c r="Z100" s="4" cm="1">
        <f t="array" ref="Z100">IF(
    LEN(TRIM(Y100&amp;""))=0,
        IF(AND(ISNUMBER(net_sales_clean), ISNUMBER(profit_clean)),
            net_sales_clean - profit_clean,
            ""
        ),
    VALUE(SUBSTITUTE(Y100,"$",""))
)</f>
        <v>117.76848514408</v>
      </c>
      <c r="AA100" s="5" t="s">
        <v>45</v>
      </c>
      <c r="AB100" s="4" cm="1">
        <f t="array" ref="AB100">IF(
    LEN(TRIM(AA100&amp;""))=0,
        IF(AND(ISNUMBER(net_sales_clean), ISNUMBER(cost_clean)),
            net_sales_clean - cost_clean,
            ""
        ),
    VALUE(SUBSTITUTE(AA100,"$",""))
)</f>
        <v>34.7215148559198</v>
      </c>
      <c r="AC100">
        <v>6</v>
      </c>
      <c r="AD100">
        <f t="shared" si="24"/>
        <v>6</v>
      </c>
      <c r="AE100">
        <v>3</v>
      </c>
      <c r="AF100">
        <f t="shared" si="25"/>
        <v>3</v>
      </c>
      <c r="AG100">
        <v>0</v>
      </c>
      <c r="AH100">
        <f t="shared" si="26"/>
        <v>0</v>
      </c>
      <c r="AI100" t="str">
        <f t="shared" si="27"/>
        <v>Complete</v>
      </c>
    </row>
    <row r="101" spans="1:35">
      <c r="A101">
        <v>11513</v>
      </c>
      <c r="B101" s="6">
        <v>45341.610335648147</v>
      </c>
      <c r="C101" s="3">
        <f t="shared" si="14"/>
        <v>45341</v>
      </c>
      <c r="D101" s="2">
        <f t="shared" si="15"/>
        <v>0.61033564814715646</v>
      </c>
      <c r="E101">
        <v>37</v>
      </c>
      <c r="F101" t="s">
        <v>33</v>
      </c>
      <c r="G101" t="str">
        <f t="shared" si="16"/>
        <v>South</v>
      </c>
      <c r="H101" t="s">
        <v>3</v>
      </c>
      <c r="I101" t="str">
        <f t="shared" si="17"/>
        <v>Phone</v>
      </c>
      <c r="J101">
        <v>8402</v>
      </c>
      <c r="K101" t="s">
        <v>10</v>
      </c>
      <c r="L101" t="str">
        <f t="shared" si="18"/>
        <v>Consumer</v>
      </c>
      <c r="M101" t="s">
        <v>23</v>
      </c>
      <c r="N101" t="str">
        <f t="shared" si="19"/>
        <v>Electronics</v>
      </c>
      <c r="O101" t="s">
        <v>22</v>
      </c>
      <c r="P101" t="str">
        <f>IF(LEN(TRIM(Table1[[#This Row],[subcategory]]&amp;""))=0,"Unknown", PROPER(TRIM(Table1[[#This Row],[subcategory]])))</f>
        <v>Audio</v>
      </c>
      <c r="Q101">
        <v>46.61</v>
      </c>
      <c r="R101" s="1">
        <f t="shared" si="20"/>
        <v>46.61</v>
      </c>
      <c r="S101">
        <v>1</v>
      </c>
      <c r="T101">
        <f t="shared" si="21"/>
        <v>1</v>
      </c>
      <c r="U101">
        <v>46.61</v>
      </c>
      <c r="V101" s="1">
        <f t="shared" si="22"/>
        <v>46.61</v>
      </c>
      <c r="W101" s="1">
        <v>38.313420000000001</v>
      </c>
      <c r="X101" s="1">
        <f t="shared" si="23"/>
        <v>38.313420000000001</v>
      </c>
      <c r="Y101" s="5" t="s">
        <v>44</v>
      </c>
      <c r="Z101" s="4" cm="1">
        <f t="array" ref="Z101">IF(
    LEN(TRIM(Y101&amp;""))=0,
        IF(AND(ISNUMBER(net_sales_clean), ISNUMBER(profit_clean)),
            net_sales_clean - profit_clean,
            ""
        ),
    VALUE(SUBSTITUTE(Y101,"$",""))
)</f>
        <v>31.758018188892699</v>
      </c>
      <c r="AA101">
        <v>6.5554018111072203</v>
      </c>
      <c r="AB101" s="1" cm="1">
        <f t="array" ref="AB101">IF(
    LEN(TRIM(AA101&amp;""))=0,
        IF(AND(ISNUMBER(net_sales_clean), ISNUMBER(cost_clean)),
            net_sales_clean - cost_clean,
            ""
        ),
    VALUE(SUBSTITUTE(AA101,"$",""))
)</f>
        <v>6.5554018111072203</v>
      </c>
      <c r="AC101">
        <v>3</v>
      </c>
      <c r="AD101">
        <f t="shared" si="24"/>
        <v>3</v>
      </c>
      <c r="AE101">
        <v>2</v>
      </c>
      <c r="AF101">
        <f t="shared" si="25"/>
        <v>2</v>
      </c>
      <c r="AG101">
        <v>0</v>
      </c>
      <c r="AH101">
        <f t="shared" si="26"/>
        <v>0</v>
      </c>
      <c r="AI101" t="str">
        <f t="shared" si="27"/>
        <v>Complete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A6830-8EB5-4CB2-A4C0-DCE2B8D826A6}">
  <dimension ref="A1:D23"/>
  <sheetViews>
    <sheetView zoomScale="90" zoomScaleNormal="90" workbookViewId="0">
      <selection activeCell="B15" sqref="B15"/>
    </sheetView>
  </sheetViews>
  <sheetFormatPr defaultRowHeight="14.4"/>
  <cols>
    <col min="1" max="1" width="30.88671875" bestFit="1" customWidth="1"/>
    <col min="2" max="2" width="38.21875" style="7" customWidth="1"/>
    <col min="3" max="3" width="18.109375" style="7" customWidth="1"/>
    <col min="4" max="4" width="104.77734375" bestFit="1" customWidth="1"/>
  </cols>
  <sheetData>
    <row r="1" spans="1:4" s="8" customFormat="1">
      <c r="A1" s="8" t="s">
        <v>261</v>
      </c>
      <c r="B1" s="9" t="s">
        <v>260</v>
      </c>
      <c r="C1" s="9" t="s">
        <v>259</v>
      </c>
      <c r="D1" s="8" t="s">
        <v>258</v>
      </c>
    </row>
    <row r="2" spans="1:4">
      <c r="A2" t="s">
        <v>235</v>
      </c>
      <c r="B2" s="7" t="s">
        <v>257</v>
      </c>
      <c r="C2" s="7" t="s">
        <v>256</v>
      </c>
      <c r="D2" t="s">
        <v>255</v>
      </c>
    </row>
    <row r="3" spans="1:4">
      <c r="A3" t="s">
        <v>231</v>
      </c>
      <c r="B3" s="7" t="s">
        <v>250</v>
      </c>
      <c r="C3" s="7" t="s">
        <v>249</v>
      </c>
      <c r="D3" t="s">
        <v>252</v>
      </c>
    </row>
    <row r="4" spans="1:4">
      <c r="A4" t="s">
        <v>229</v>
      </c>
      <c r="B4" s="7" t="s">
        <v>250</v>
      </c>
      <c r="C4" s="7" t="s">
        <v>249</v>
      </c>
      <c r="D4" t="s">
        <v>252</v>
      </c>
    </row>
    <row r="5" spans="1:4">
      <c r="A5" t="s">
        <v>226</v>
      </c>
      <c r="B5" s="7" t="s">
        <v>250</v>
      </c>
      <c r="C5" s="7" t="s">
        <v>249</v>
      </c>
      <c r="D5" t="s">
        <v>252</v>
      </c>
    </row>
    <row r="6" spans="1:4">
      <c r="A6" t="s">
        <v>224</v>
      </c>
      <c r="B6" s="7" t="s">
        <v>250</v>
      </c>
      <c r="C6" s="7" t="s">
        <v>249</v>
      </c>
      <c r="D6" t="s">
        <v>252</v>
      </c>
    </row>
    <row r="7" spans="1:4">
      <c r="A7" t="s">
        <v>222</v>
      </c>
      <c r="B7" s="7" t="s">
        <v>250</v>
      </c>
      <c r="C7" s="7" t="s">
        <v>249</v>
      </c>
      <c r="D7" t="s">
        <v>252</v>
      </c>
    </row>
    <row r="8" spans="1:4">
      <c r="A8" t="s">
        <v>222</v>
      </c>
      <c r="B8" s="7" t="s">
        <v>242</v>
      </c>
      <c r="C8" s="7" t="s">
        <v>254</v>
      </c>
      <c r="D8" t="s">
        <v>253</v>
      </c>
    </row>
    <row r="9" spans="1:4">
      <c r="A9" t="s">
        <v>206</v>
      </c>
      <c r="B9" s="7" t="s">
        <v>250</v>
      </c>
      <c r="C9" s="7" t="s">
        <v>249</v>
      </c>
      <c r="D9" t="s">
        <v>252</v>
      </c>
    </row>
    <row r="10" spans="1:4">
      <c r="A10" t="s">
        <v>220</v>
      </c>
      <c r="B10" s="7" t="s">
        <v>250</v>
      </c>
      <c r="C10" s="7" t="s">
        <v>249</v>
      </c>
      <c r="D10" t="s">
        <v>252</v>
      </c>
    </row>
    <row r="11" spans="1:4">
      <c r="A11" t="s">
        <v>218</v>
      </c>
      <c r="B11" s="7" t="s">
        <v>250</v>
      </c>
      <c r="C11" s="7" t="s">
        <v>249</v>
      </c>
      <c r="D11" t="s">
        <v>252</v>
      </c>
    </row>
    <row r="12" spans="1:4">
      <c r="A12" t="s">
        <v>216</v>
      </c>
      <c r="B12" s="7" t="s">
        <v>250</v>
      </c>
      <c r="C12" s="7" t="s">
        <v>249</v>
      </c>
      <c r="D12" t="s">
        <v>248</v>
      </c>
    </row>
    <row r="13" spans="1:4">
      <c r="A13" t="s">
        <v>216</v>
      </c>
      <c r="B13" s="7" t="s">
        <v>242</v>
      </c>
      <c r="C13" s="7" t="s">
        <v>238</v>
      </c>
      <c r="D13" t="s">
        <v>244</v>
      </c>
    </row>
    <row r="14" spans="1:4">
      <c r="A14" t="s">
        <v>214</v>
      </c>
      <c r="B14" s="7" t="s">
        <v>242</v>
      </c>
      <c r="C14" s="7" t="s">
        <v>238</v>
      </c>
      <c r="D14" t="s">
        <v>244</v>
      </c>
    </row>
    <row r="15" spans="1:4">
      <c r="A15" t="s">
        <v>214</v>
      </c>
      <c r="B15" s="7" t="s">
        <v>250</v>
      </c>
      <c r="C15" s="7" t="s">
        <v>249</v>
      </c>
      <c r="D15" t="s">
        <v>248</v>
      </c>
    </row>
    <row r="16" spans="1:4">
      <c r="A16" t="s">
        <v>212</v>
      </c>
      <c r="B16" s="7" t="s">
        <v>250</v>
      </c>
      <c r="C16" s="7" t="s">
        <v>249</v>
      </c>
      <c r="D16" t="s">
        <v>248</v>
      </c>
    </row>
    <row r="17" spans="1:4">
      <c r="A17" t="s">
        <v>212</v>
      </c>
      <c r="B17" s="7" t="s">
        <v>242</v>
      </c>
      <c r="C17" s="7" t="s">
        <v>246</v>
      </c>
      <c r="D17" t="s">
        <v>251</v>
      </c>
    </row>
    <row r="18" spans="1:4">
      <c r="A18" t="s">
        <v>212</v>
      </c>
      <c r="B18" s="7" t="s">
        <v>242</v>
      </c>
      <c r="C18" s="7" t="s">
        <v>238</v>
      </c>
      <c r="D18" t="s">
        <v>244</v>
      </c>
    </row>
    <row r="19" spans="1:4">
      <c r="A19" t="s">
        <v>210</v>
      </c>
      <c r="B19" s="7" t="s">
        <v>250</v>
      </c>
      <c r="C19" s="7" t="s">
        <v>249</v>
      </c>
      <c r="D19" t="s">
        <v>248</v>
      </c>
    </row>
    <row r="20" spans="1:4">
      <c r="A20" t="s">
        <v>247</v>
      </c>
      <c r="B20" s="7" t="s">
        <v>242</v>
      </c>
      <c r="C20" s="7" t="s">
        <v>246</v>
      </c>
      <c r="D20" t="s">
        <v>245</v>
      </c>
    </row>
    <row r="21" spans="1:4">
      <c r="A21" t="s">
        <v>210</v>
      </c>
      <c r="B21" s="7" t="s">
        <v>242</v>
      </c>
      <c r="C21" s="7" t="s">
        <v>238</v>
      </c>
      <c r="D21" t="s">
        <v>244</v>
      </c>
    </row>
    <row r="22" spans="1:4">
      <c r="A22" t="s">
        <v>243</v>
      </c>
      <c r="B22" s="7" t="s">
        <v>242</v>
      </c>
      <c r="C22" s="7" t="s">
        <v>241</v>
      </c>
      <c r="D22" t="s">
        <v>240</v>
      </c>
    </row>
    <row r="23" spans="1:4">
      <c r="A23" t="s">
        <v>204</v>
      </c>
      <c r="B23" s="7" t="s">
        <v>239</v>
      </c>
      <c r="C23" s="7" t="s">
        <v>238</v>
      </c>
      <c r="D23" t="s">
        <v>237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clean_retail_data_sample</vt:lpstr>
      <vt:lpstr>raw_retail_data_sample</vt:lpstr>
      <vt:lpstr>formulas_sample</vt:lpstr>
      <vt:lpstr>issues_log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gabrielle beebe</dc:creator>
  <cp:lastModifiedBy>gabrielle beebe</cp:lastModifiedBy>
  <dcterms:created xsi:type="dcterms:W3CDTF">2026-01-29T18:09:11Z</dcterms:created>
  <dcterms:modified xsi:type="dcterms:W3CDTF">2026-01-29T18:43:24Z</dcterms:modified>
</cp:coreProperties>
</file>